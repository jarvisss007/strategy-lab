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RAW_TAPE" sheetId="1" r:id="rId5"/>
    <sheet state="visible" name="DAILY_ANALYSIS" sheetId="2" r:id="rId6"/>
  </sheets>
  <definedNames/>
  <calcPr/>
</workbook>
</file>

<file path=xl/sharedStrings.xml><?xml version="1.0" encoding="utf-8"?>
<sst xmlns="http://schemas.openxmlformats.org/spreadsheetml/2006/main" count="49" uniqueCount="49">
  <si>
    <t>DATE</t>
  </si>
  <si>
    <t>Time</t>
  </si>
  <si>
    <t>Open</t>
  </si>
  <si>
    <t>FIRST MOVE START TIME</t>
  </si>
  <si>
    <r>
      <rPr>
        <rFont val="Arial"/>
        <b/>
        <color theme="1"/>
      </rPr>
      <t xml:space="preserve">FIRST MOVE </t>
    </r>
    <r>
      <rPr>
        <rFont val="Arial"/>
        <b/>
        <color rgb="FF00FF00"/>
      </rPr>
      <t xml:space="preserve">START </t>
    </r>
    <r>
      <rPr>
        <rFont val="Arial"/>
        <b/>
        <color theme="1"/>
      </rPr>
      <t xml:space="preserve">PRICE </t>
    </r>
  </si>
  <si>
    <t>FIRST MOVE END TIME</t>
  </si>
  <si>
    <r>
      <rPr>
        <rFont val="Arial"/>
        <b/>
        <color theme="1"/>
      </rPr>
      <t>FIRST MOVE</t>
    </r>
    <r>
      <rPr>
        <rFont val="Arial"/>
        <b/>
        <color rgb="FFFF0000"/>
      </rPr>
      <t xml:space="preserve"> END</t>
    </r>
    <r>
      <rPr>
        <rFont val="Arial"/>
        <b/>
        <color theme="1"/>
      </rPr>
      <t xml:space="preserve"> PRICE </t>
    </r>
  </si>
  <si>
    <t>SECOND MOVE START TIME</t>
  </si>
  <si>
    <r>
      <rPr>
        <rFont val="Arial"/>
        <b/>
        <color theme="1"/>
      </rPr>
      <t xml:space="preserve">SECOND </t>
    </r>
    <r>
      <rPr>
        <rFont val="Arial"/>
        <b/>
        <color rgb="FF00FF00"/>
      </rPr>
      <t>MOVE</t>
    </r>
    <r>
      <rPr>
        <rFont val="Arial"/>
        <b/>
        <color theme="1"/>
      </rPr>
      <t xml:space="preserve"> START PRICE</t>
    </r>
  </si>
  <si>
    <t>SECOND MOVE END TIME</t>
  </si>
  <si>
    <r>
      <rPr>
        <rFont val="Arial"/>
        <b/>
        <color theme="1"/>
      </rPr>
      <t xml:space="preserve">SECOND MOVE </t>
    </r>
    <r>
      <rPr>
        <rFont val="Arial"/>
        <b/>
        <color rgb="FFFF0000"/>
      </rPr>
      <t xml:space="preserve">END </t>
    </r>
    <r>
      <rPr>
        <rFont val="Arial"/>
        <b/>
        <color theme="1"/>
      </rPr>
      <t>PRICE</t>
    </r>
  </si>
  <si>
    <t>THIRD MOVE START TIME</t>
  </si>
  <si>
    <r>
      <rPr>
        <rFont val="Arial"/>
        <b/>
        <color theme="1"/>
      </rPr>
      <t xml:space="preserve">THIRD MOVE </t>
    </r>
    <r>
      <rPr>
        <rFont val="Arial"/>
        <b/>
        <color rgb="FF00FF00"/>
      </rPr>
      <t xml:space="preserve">START </t>
    </r>
    <r>
      <rPr>
        <rFont val="Arial"/>
        <b/>
        <color theme="1"/>
      </rPr>
      <t>PRICE</t>
    </r>
  </si>
  <si>
    <t>THIRDMOVE END TIME</t>
  </si>
  <si>
    <r>
      <rPr>
        <rFont val="Arial"/>
        <b/>
        <color theme="1"/>
      </rPr>
      <t xml:space="preserve">THIRD MOVE </t>
    </r>
    <r>
      <rPr>
        <rFont val="Arial"/>
        <b/>
        <color rgb="FFFF0000"/>
      </rPr>
      <t xml:space="preserve">END </t>
    </r>
    <r>
      <rPr>
        <rFont val="Arial"/>
        <b/>
        <color theme="1"/>
      </rPr>
      <t>PRICE</t>
    </r>
  </si>
  <si>
    <t>FOURTH MOVE START TIME</t>
  </si>
  <si>
    <r>
      <rPr>
        <rFont val="Arial"/>
        <b/>
        <color theme="1"/>
      </rPr>
      <t xml:space="preserve">FOURTH MOVE </t>
    </r>
    <r>
      <rPr>
        <rFont val="Arial"/>
        <b/>
        <color rgb="FF00FF00"/>
      </rPr>
      <t>START</t>
    </r>
    <r>
      <rPr>
        <rFont val="Arial"/>
        <b/>
        <color theme="1"/>
      </rPr>
      <t xml:space="preserve"> PRICE </t>
    </r>
  </si>
  <si>
    <t>FOURTH MOVE END TIME</t>
  </si>
  <si>
    <r>
      <rPr>
        <rFont val="Arial"/>
        <b/>
        <color theme="1"/>
      </rPr>
      <t xml:space="preserve">FOURTH MOVE </t>
    </r>
    <r>
      <rPr>
        <rFont val="Arial"/>
        <b/>
        <color rgb="FFFF0000"/>
      </rPr>
      <t xml:space="preserve">END </t>
    </r>
    <r>
      <rPr>
        <rFont val="Arial"/>
        <b/>
        <color theme="1"/>
      </rPr>
      <t xml:space="preserve">PRICE </t>
    </r>
  </si>
  <si>
    <t>FIFTH MOVE START TIME</t>
  </si>
  <si>
    <r>
      <rPr>
        <rFont val="Arial"/>
        <b/>
        <color theme="1"/>
      </rPr>
      <t xml:space="preserve">FIFTH MOVE </t>
    </r>
    <r>
      <rPr>
        <rFont val="Arial"/>
        <b/>
        <color rgb="FF00FF00"/>
      </rPr>
      <t>START</t>
    </r>
    <r>
      <rPr>
        <rFont val="Arial"/>
        <b/>
        <color theme="1"/>
      </rPr>
      <t xml:space="preserve"> PRICE </t>
    </r>
  </si>
  <si>
    <t>FIFTH MOVE END TIME</t>
  </si>
  <si>
    <r>
      <rPr>
        <rFont val="Arial"/>
        <b/>
        <color theme="1"/>
      </rPr>
      <t xml:space="preserve">FIFTH MOVE </t>
    </r>
    <r>
      <rPr>
        <rFont val="Arial"/>
        <b/>
        <color rgb="FFFF0000"/>
      </rPr>
      <t xml:space="preserve">END </t>
    </r>
    <r>
      <rPr>
        <rFont val="Arial"/>
        <b/>
        <color theme="1"/>
      </rPr>
      <t xml:space="preserve">PRICE </t>
    </r>
  </si>
  <si>
    <t>Move1</t>
  </si>
  <si>
    <t>Move2</t>
  </si>
  <si>
    <t>Move3</t>
  </si>
  <si>
    <t>Move4</t>
  </si>
  <si>
    <t>Move5</t>
  </si>
  <si>
    <t>AbsMove1</t>
  </si>
  <si>
    <t>AbsMove2</t>
  </si>
  <si>
    <t>AbsMove3</t>
  </si>
  <si>
    <t>AbsMove4</t>
  </si>
  <si>
    <t>AbsMove5</t>
  </si>
  <si>
    <t>Total Path</t>
  </si>
  <si>
    <t>Net Move</t>
  </si>
  <si>
    <t>Efficiency</t>
  </si>
  <si>
    <t>Regime</t>
  </si>
  <si>
    <t>Swing Count'</t>
  </si>
  <si>
    <t>Avg Swing Size</t>
  </si>
  <si>
    <t>Largest swing</t>
  </si>
  <si>
    <t>Move Order Dominance</t>
  </si>
  <si>
    <t>TODAY MODE</t>
  </si>
  <si>
    <t>WHEN TO TRADE</t>
  </si>
  <si>
    <t xml:space="preserve">SNDK Intraday Summary </t>
  </si>
  <si>
    <t>Total Path shows how much intraday opportunity exists (≥80 = tradeable).</t>
  </si>
  <si>
    <t>Efficiency = |Net Move| / Total Path tells TREND vs CHOP.</t>
  </si>
  <si>
    <t>Most days are CHOP → fade extensions, don’t chase breakouts.</t>
  </si>
  <si>
    <t>Best time: After 7:15 AM (let open volatility settle).</t>
  </si>
  <si>
    <t>Goal: Catch 1–2 best swings, not every move. Limit trades.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</si>
</sst>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FF"/>
      <name val="Arial"/>
      <scheme val="minor"/>
    </font>
    <font>
      <b/>
      <color rgb="FFFF99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0000FF"/>
      <name val="Arial"/>
      <scheme val="minor"/>
    </font>
    <font>
      <color rgb="FFFF9900"/>
      <name val="Arial"/>
      <scheme val="minor"/>
    </font>
    <font>
      <color rgb="FF0000FF"/>
      <name val="Arial"/>
      <scheme val="minor"/>
    </font>
    <font>
      <sz val="10.0"/>
      <color rgb="FFFF9900"/>
      <name val="Arial"/>
      <scheme val="minor"/>
    </font>
    <font>
      <b/>
      <sz val="15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5" numFmtId="14" xfId="0" applyAlignment="1" applyFont="1" applyNumberFormat="1">
      <alignment readingOrder="0"/>
    </xf>
    <xf borderId="0" fillId="0" fontId="6" numFmtId="0" xfId="0" applyFont="1"/>
    <xf borderId="0" fillId="0" fontId="7" numFmtId="20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8" numFmtId="20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9" numFmtId="20" xfId="0" applyFont="1" applyNumberFormat="1"/>
    <xf borderId="0" fillId="0" fontId="5" numFmtId="0" xfId="0" applyFont="1"/>
    <xf borderId="0" fillId="0" fontId="9" numFmtId="0" xfId="0" applyFont="1"/>
    <xf borderId="0" fillId="0" fontId="8" numFmtId="0" xfId="0" applyFont="1"/>
    <xf borderId="0" fillId="0" fontId="7" numFmtId="0" xfId="0" applyFont="1"/>
    <xf borderId="0" fillId="0" fontId="10" numFmtId="0" xfId="0" applyFont="1"/>
    <xf borderId="0" fillId="0" fontId="1" numFmtId="0" xfId="0" applyFont="1"/>
    <xf borderId="0" fillId="0" fontId="6" numFmtId="10" xfId="0" applyFont="1" applyNumberFormat="1"/>
    <xf borderId="0" fillId="0" fontId="5" numFmtId="2" xfId="0" applyFont="1" applyNumberFormat="1"/>
    <xf borderId="0" fillId="0" fontId="6" numFmtId="4" xfId="0" applyFont="1" applyNumberFormat="1"/>
    <xf borderId="0" fillId="0" fontId="4" numFmtId="0" xfId="0" applyFont="1"/>
    <xf borderId="0" fillId="0" fontId="7" numFmtId="20" xfId="0" applyFont="1" applyNumberFormat="1"/>
    <xf borderId="0" fillId="0" fontId="10" numFmtId="20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6" numFmtId="20" xfId="0" applyAlignment="1" applyFont="1" applyNumberFormat="1">
      <alignment readingOrder="0"/>
    </xf>
    <xf borderId="0" fillId="0" fontId="9" numFmtId="20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11" numFmtId="0" xfId="0" applyFont="1"/>
    <xf borderId="0" fillId="0" fontId="5" numFmtId="4" xfId="0" applyFont="1" applyNumberFormat="1"/>
    <xf borderId="0" fillId="0" fontId="12" numFmtId="0" xfId="0" applyAlignment="1" applyFont="1">
      <alignment readingOrder="0"/>
    </xf>
    <xf borderId="0" fillId="0" fontId="5" numFmtId="10" xfId="0" applyFont="1" applyNumberFormat="1"/>
    <xf borderId="0" fillId="0" fontId="12" numFmtId="0" xfId="0" applyFont="1"/>
    <xf borderId="0" fillId="0" fontId="13" numFmtId="0" xfId="0" applyAlignment="1" applyFont="1">
      <alignment readingOrder="0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5" width="31.0"/>
    <col customWidth="1" min="6" max="9" width="25.75"/>
    <col customWidth="1" min="10" max="15" width="25.88"/>
    <col customWidth="1" min="16" max="18" width="24.38"/>
    <col customWidth="1" min="19" max="24" width="24.75"/>
    <col hidden="1" min="29" max="33" width="12.63"/>
    <col customWidth="1" min="38" max="38" width="12.88"/>
    <col customWidth="1" min="39" max="39" width="14.13"/>
    <col customWidth="1" min="41" max="41" width="20.5"/>
    <col customWidth="1" min="42" max="42" width="21.0"/>
    <col customWidth="1" min="43" max="43" width="19.88"/>
    <col customWidth="1" min="44" max="44" width="22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1" t="s">
        <v>10</v>
      </c>
      <c r="L1" s="2" t="s">
        <v>11</v>
      </c>
      <c r="M1" s="1" t="s">
        <v>12</v>
      </c>
      <c r="N1" s="3" t="s">
        <v>13</v>
      </c>
      <c r="O1" s="1" t="s">
        <v>14</v>
      </c>
      <c r="P1" s="2" t="s">
        <v>15</v>
      </c>
      <c r="Q1" s="1" t="s">
        <v>16</v>
      </c>
      <c r="R1" s="3" t="s">
        <v>17</v>
      </c>
      <c r="S1" s="1" t="s">
        <v>18</v>
      </c>
      <c r="T1" s="2" t="s">
        <v>19</v>
      </c>
      <c r="U1" s="1" t="s">
        <v>20</v>
      </c>
      <c r="V1" s="3" t="s">
        <v>21</v>
      </c>
      <c r="W1" s="1" t="s">
        <v>22</v>
      </c>
      <c r="X1" s="4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1" t="s">
        <v>33</v>
      </c>
      <c r="AI1" s="1" t="s">
        <v>34</v>
      </c>
      <c r="AJ1" s="5" t="s">
        <v>35</v>
      </c>
      <c r="AK1" s="1" t="s">
        <v>36</v>
      </c>
      <c r="AL1" s="1" t="s">
        <v>37</v>
      </c>
      <c r="AM1" s="6" t="s">
        <v>38</v>
      </c>
      <c r="AN1" s="4" t="s">
        <v>39</v>
      </c>
      <c r="AO1" s="7" t="s">
        <v>40</v>
      </c>
      <c r="AP1" s="4" t="s">
        <v>41</v>
      </c>
      <c r="AQ1" s="4" t="s">
        <v>42</v>
      </c>
      <c r="AR1" s="4"/>
      <c r="AS1" s="4"/>
    </row>
    <row r="2">
      <c r="A2" s="8">
        <f>DATE(2026,1,12)</f>
        <v>46034</v>
      </c>
      <c r="B2" s="9"/>
      <c r="C2" s="9">
        <f>IFERROR(__xludf.DUMMYFUNCTION("INDEX(GOOGLEFINANCE(""NASDAQ:SNDK"",""open"",A2,A2),2,2)"),373.97)</f>
        <v>373.97</v>
      </c>
      <c r="D2" s="10">
        <v>0.2708333333333333</v>
      </c>
      <c r="E2" s="11">
        <v>374.12</v>
      </c>
      <c r="F2" s="12">
        <v>0.2777777777777778</v>
      </c>
      <c r="G2" s="11">
        <v>395.16</v>
      </c>
      <c r="H2" s="10">
        <f t="shared" ref="H2:I2" si="1">F2</f>
        <v>0.2777777778</v>
      </c>
      <c r="I2" s="11">
        <f t="shared" si="1"/>
        <v>395.16</v>
      </c>
      <c r="J2" s="12">
        <v>0.3229166666666667</v>
      </c>
      <c r="K2" s="13">
        <v>376.4</v>
      </c>
      <c r="L2" s="14">
        <f t="shared" ref="L2:M2" si="2">J2</f>
        <v>0.3229166667</v>
      </c>
      <c r="M2" s="15">
        <f t="shared" si="2"/>
        <v>376.4</v>
      </c>
      <c r="N2" s="12">
        <v>0.5208333333333334</v>
      </c>
      <c r="O2" s="13">
        <v>390.76</v>
      </c>
      <c r="P2" s="16"/>
      <c r="R2" s="17"/>
      <c r="S2" s="9"/>
      <c r="T2" s="18"/>
      <c r="U2" s="9"/>
      <c r="V2" s="19"/>
      <c r="W2" s="9"/>
      <c r="X2" s="9">
        <f t="shared" ref="X2:X20" si="7">IF(OR($E2="",$G2=""),"", $G2-$E2)</f>
        <v>21.04</v>
      </c>
      <c r="Y2" s="9">
        <f t="shared" ref="Y2:Y20" si="8">IF(OR($I2="",$K2=""),"", $K2-$I2)</f>
        <v>-18.76</v>
      </c>
      <c r="Z2" s="15">
        <f t="shared" ref="Z2:Z10" si="9">IF(OR($M2="",$O2=""),"", $O2-$M2)</f>
        <v>14.36</v>
      </c>
      <c r="AA2" s="15" t="str">
        <f t="shared" ref="AA2:AA20" si="10">IF(OR($Q2="",$S2=""),"", $S2-$Q2)</f>
        <v/>
      </c>
      <c r="AB2" s="15" t="str">
        <f t="shared" ref="AB2:AB20" si="11">IF(OR($U2="",$W2=""),"", $W2-$U2)</f>
        <v/>
      </c>
      <c r="AC2" s="9">
        <f t="shared" ref="AC2:AC20" si="12">IF($X2="","",ABS($X2))</f>
        <v>21.04</v>
      </c>
      <c r="AD2" s="15">
        <f t="shared" ref="AD2:AD20" si="13">IF($Y2="","",ABS($Y2))</f>
        <v>18.76</v>
      </c>
      <c r="AE2" s="15">
        <f t="shared" ref="AE2:AE20" si="14">IF($Z2="","",ABS($Z2))</f>
        <v>14.36</v>
      </c>
      <c r="AF2" s="15" t="str">
        <f t="shared" ref="AF2:AF20" si="15">IF($AA2="","",ABS($AA2))</f>
        <v/>
      </c>
      <c r="AG2" s="15" t="str">
        <f t="shared" ref="AG2:AG20" si="16">IF($AB2="","",ABS($AB2))</f>
        <v/>
      </c>
      <c r="AH2" s="20">
        <f t="shared" ref="AH2:AH6" si="17">SUM($AC2,$AD2,$AE2,$AF2,$AG2)</f>
        <v>54.16</v>
      </c>
      <c r="AI2" s="20">
        <f t="shared" ref="AI2:AI20" si="18">IF($C2="","",LOOKUP(9E+99,{$G2,$K2,$O2,$S2,$W2})-$C2)</f>
        <v>16.79</v>
      </c>
      <c r="AJ2" s="21">
        <f t="shared" ref="AJ2:AJ20" si="19">IF($AH2="","",ABS($AI2)/$AH2)</f>
        <v>0.3100073855</v>
      </c>
      <c r="AK2" s="15" t="str">
        <f t="shared" ref="AK2:AK20" si="20">IF($AH2="","",
 IF(ABS($AI2)/$AH2&gt;=0.4,"TREND",
 IF(ABS($AI2)/$AH2&lt;=0.25,"CHOP","MIXED")
 ))</f>
        <v>MIXED</v>
      </c>
      <c r="AL2" s="15">
        <f t="shared" ref="AL2:AL20" si="21">COUNT($AC2:$AG2)</f>
        <v>3</v>
      </c>
      <c r="AM2" s="22">
        <f t="shared" ref="AM2:AM20" si="22">IF(COUNT($AC2:$AG2)=0,"",AVERAGE($AC2:$AG2))</f>
        <v>18.05333333</v>
      </c>
      <c r="AN2" s="9">
        <f t="shared" ref="AN2:AN20" si="23">MAX($AC2:$AG2)</f>
        <v>21.04</v>
      </c>
      <c r="AO2" s="23" t="str">
        <f t="shared" ref="AO2:AO20" si="24">IF(SUM($S2:$W2)=0,"",
 "Move"&amp;MATCH(MAX($S2:$W2), $S2:$W2, 0)
)</f>
        <v/>
      </c>
      <c r="AP2" s="9" t="str">
        <f t="shared" ref="AP2:AP20" si="25">IF(AJ2="","",
 IF(AND(AH2&gt;=100,AJ2&lt;=0.25),"MEAN REVERSION DAY",
 IF(AJ2&gt;=0.45,"TREND DAY",
 "OBSERVE / LIGHT")))</f>
        <v>OBSERVE / LIGHT</v>
      </c>
      <c r="AQ2" s="9" t="str">
        <f t="shared" ref="AQ2:AQ20" si="26">IF(AK2="","",
 IF(AK2="CHOP","AFTER 7:15 AM",
 IF(AK2="TREND","6:30–7:15 AM",
 "WAIT FOR EXTREMES")))</f>
        <v>WAIT FOR EXTREMES</v>
      </c>
      <c r="AR2" s="9" t="str">
        <f>IF(AO2="","",
 IF(AK2="CHOP",
    IF(AO2="Move1","FADE FIRST EXTENSION","FADE LATE LIQUIDITY"),
 IF(AK2="TREND",
    "PULLBACK CONTINUATION",
 "NO A-SETUP")))</f>
        <v/>
      </c>
      <c r="AS2" s="24"/>
    </row>
    <row r="3">
      <c r="A3" s="8">
        <f>WORKDAY(A2,1)</f>
        <v>46035</v>
      </c>
      <c r="C3" s="9">
        <f>IFERROR(__xludf.DUMMYFUNCTION("INDEX(GOOGLEFINANCE(""NASDAQ:SNDK"",""open"",A3,A3),2,2)"),393.2)</f>
        <v>393.2</v>
      </c>
      <c r="D3" s="10">
        <v>0.2708333333333333</v>
      </c>
      <c r="E3" s="13">
        <v>392.87</v>
      </c>
      <c r="F3" s="12">
        <v>0.2777777777777778</v>
      </c>
      <c r="G3" s="13">
        <v>379.41</v>
      </c>
      <c r="H3" s="10">
        <f t="shared" ref="H3:I3" si="3">F3</f>
        <v>0.2777777778</v>
      </c>
      <c r="I3" s="11">
        <f t="shared" si="3"/>
        <v>379.41</v>
      </c>
      <c r="J3" s="12">
        <v>0.3229166666666667</v>
      </c>
      <c r="K3" s="13">
        <v>396.24</v>
      </c>
      <c r="L3" s="14">
        <f t="shared" ref="L3:M3" si="4">J3</f>
        <v>0.3229166667</v>
      </c>
      <c r="M3" s="15">
        <f t="shared" si="4"/>
        <v>396.24</v>
      </c>
      <c r="N3" s="12">
        <v>0.3784722222222222</v>
      </c>
      <c r="O3" s="13">
        <v>382.79</v>
      </c>
      <c r="P3" s="14">
        <f t="shared" ref="P3:Q3" si="5">N3</f>
        <v>0.3784722222</v>
      </c>
      <c r="Q3" s="15">
        <f t="shared" si="5"/>
        <v>382.79</v>
      </c>
      <c r="R3" s="12">
        <v>0.46875</v>
      </c>
      <c r="S3" s="13">
        <v>390.87</v>
      </c>
      <c r="T3" s="25">
        <f t="shared" ref="T3:U3" si="6">R3</f>
        <v>0.46875</v>
      </c>
      <c r="U3" s="9">
        <f t="shared" si="6"/>
        <v>390.87</v>
      </c>
      <c r="V3" s="26">
        <v>0.5208333333333334</v>
      </c>
      <c r="W3" s="11">
        <v>382.85</v>
      </c>
      <c r="X3" s="9">
        <f t="shared" si="7"/>
        <v>-13.46</v>
      </c>
      <c r="Y3" s="9">
        <f t="shared" si="8"/>
        <v>16.83</v>
      </c>
      <c r="Z3" s="15">
        <f t="shared" si="9"/>
        <v>-13.45</v>
      </c>
      <c r="AA3" s="15">
        <f t="shared" si="10"/>
        <v>8.08</v>
      </c>
      <c r="AB3" s="15">
        <f t="shared" si="11"/>
        <v>-8.02</v>
      </c>
      <c r="AC3" s="9">
        <f t="shared" si="12"/>
        <v>13.46</v>
      </c>
      <c r="AD3" s="15">
        <f t="shared" si="13"/>
        <v>16.83</v>
      </c>
      <c r="AE3" s="15">
        <f t="shared" si="14"/>
        <v>13.45</v>
      </c>
      <c r="AF3" s="15">
        <f t="shared" si="15"/>
        <v>8.08</v>
      </c>
      <c r="AG3" s="15">
        <f t="shared" si="16"/>
        <v>8.02</v>
      </c>
      <c r="AH3" s="20">
        <f t="shared" si="17"/>
        <v>59.84</v>
      </c>
      <c r="AI3" s="20">
        <f t="shared" si="18"/>
        <v>-10.35</v>
      </c>
      <c r="AJ3" s="21">
        <f t="shared" si="19"/>
        <v>0.1729612299</v>
      </c>
      <c r="AK3" s="15" t="str">
        <f t="shared" si="20"/>
        <v>CHOP</v>
      </c>
      <c r="AL3" s="15">
        <f t="shared" si="21"/>
        <v>5</v>
      </c>
      <c r="AM3" s="22">
        <f t="shared" si="22"/>
        <v>11.968</v>
      </c>
      <c r="AN3" s="9">
        <f t="shared" si="23"/>
        <v>16.83</v>
      </c>
      <c r="AO3" s="23" t="str">
        <f t="shared" si="24"/>
        <v>Move1</v>
      </c>
      <c r="AP3" s="9" t="str">
        <f t="shared" si="25"/>
        <v>OBSERVE / LIGHT</v>
      </c>
      <c r="AQ3" s="9" t="str">
        <f t="shared" si="26"/>
        <v>AFTER 7:15 AM</v>
      </c>
      <c r="AR3" s="9"/>
      <c r="AS3" s="24"/>
    </row>
    <row r="4">
      <c r="A4" s="8">
        <f t="shared" ref="A4:A18" si="31">A3+1</f>
        <v>46036</v>
      </c>
      <c r="C4" s="9">
        <f>IFERROR(__xludf.DUMMYFUNCTION("INDEX(GOOGLEFINANCE(""NASDAQ:SNDK"",""open"",A4,A4),2,2)"),390.0)</f>
        <v>390</v>
      </c>
      <c r="D4" s="10">
        <v>0.2708333333333333</v>
      </c>
      <c r="E4" s="13">
        <v>380.0</v>
      </c>
      <c r="F4" s="12">
        <v>0.3055555555555556</v>
      </c>
      <c r="G4" s="13">
        <v>401.2</v>
      </c>
      <c r="H4" s="10">
        <f t="shared" ref="H4:I4" si="27">F4</f>
        <v>0.3055555556</v>
      </c>
      <c r="I4" s="11">
        <f t="shared" si="27"/>
        <v>401.2</v>
      </c>
      <c r="J4" s="12">
        <v>0.34375</v>
      </c>
      <c r="K4" s="13">
        <v>383.27</v>
      </c>
      <c r="L4" s="14">
        <f t="shared" ref="L4:M4" si="28">J4</f>
        <v>0.34375</v>
      </c>
      <c r="M4" s="15">
        <f t="shared" si="28"/>
        <v>383.27</v>
      </c>
      <c r="N4" s="12">
        <v>0.4305555555555556</v>
      </c>
      <c r="O4" s="13">
        <v>397.26</v>
      </c>
      <c r="P4" s="14">
        <f t="shared" ref="P4:Q4" si="29">N4</f>
        <v>0.4305555556</v>
      </c>
      <c r="Q4" s="15">
        <f t="shared" si="29"/>
        <v>397.26</v>
      </c>
      <c r="R4" s="12">
        <v>0.5</v>
      </c>
      <c r="S4" s="13">
        <v>377.0</v>
      </c>
      <c r="T4" s="25">
        <f t="shared" ref="T4:U4" si="30">R4</f>
        <v>0.5</v>
      </c>
      <c r="U4" s="9">
        <f t="shared" si="30"/>
        <v>377</v>
      </c>
      <c r="V4" s="26">
        <v>0.53125</v>
      </c>
      <c r="W4" s="11">
        <v>389.17</v>
      </c>
      <c r="X4" s="9">
        <f t="shared" si="7"/>
        <v>21.2</v>
      </c>
      <c r="Y4" s="9">
        <f t="shared" si="8"/>
        <v>-17.93</v>
      </c>
      <c r="Z4" s="15">
        <f t="shared" si="9"/>
        <v>13.99</v>
      </c>
      <c r="AA4" s="15">
        <f t="shared" si="10"/>
        <v>-20.26</v>
      </c>
      <c r="AB4" s="15">
        <f t="shared" si="11"/>
        <v>12.17</v>
      </c>
      <c r="AC4" s="9">
        <f t="shared" si="12"/>
        <v>21.2</v>
      </c>
      <c r="AD4" s="15">
        <f t="shared" si="13"/>
        <v>17.93</v>
      </c>
      <c r="AE4" s="15">
        <f t="shared" si="14"/>
        <v>13.99</v>
      </c>
      <c r="AF4" s="15">
        <f t="shared" si="15"/>
        <v>20.26</v>
      </c>
      <c r="AG4" s="15">
        <f t="shared" si="16"/>
        <v>12.17</v>
      </c>
      <c r="AH4" s="20">
        <f t="shared" si="17"/>
        <v>85.55</v>
      </c>
      <c r="AI4" s="20">
        <f t="shared" si="18"/>
        <v>-0.83</v>
      </c>
      <c r="AJ4" s="21">
        <f t="shared" si="19"/>
        <v>0.009701928697</v>
      </c>
      <c r="AK4" s="15" t="str">
        <f t="shared" si="20"/>
        <v>CHOP</v>
      </c>
      <c r="AL4" s="15">
        <f t="shared" si="21"/>
        <v>5</v>
      </c>
      <c r="AM4" s="22">
        <f t="shared" si="22"/>
        <v>17.11</v>
      </c>
      <c r="AN4" s="9">
        <f t="shared" si="23"/>
        <v>21.2</v>
      </c>
      <c r="AO4" s="23" t="str">
        <f t="shared" si="24"/>
        <v>Move5</v>
      </c>
      <c r="AP4" s="9" t="str">
        <f t="shared" si="25"/>
        <v>OBSERVE / LIGHT</v>
      </c>
      <c r="AQ4" s="9" t="str">
        <f t="shared" si="26"/>
        <v>AFTER 7:15 AM</v>
      </c>
      <c r="AR4" s="9"/>
      <c r="AS4" s="24"/>
    </row>
    <row r="5">
      <c r="A5" s="8">
        <f t="shared" si="31"/>
        <v>46037</v>
      </c>
      <c r="C5" s="9">
        <f>IFERROR(__xludf.DUMMYFUNCTION("INDEX(GOOGLEFINANCE(""NASDAQ:SNDK"",""open"",A5,A5),2,2)"),398.83)</f>
        <v>398.83</v>
      </c>
      <c r="D5" s="10">
        <v>0.2708333333333333</v>
      </c>
      <c r="E5" s="13">
        <v>398.62</v>
      </c>
      <c r="F5" s="12">
        <v>0.2847222222222222</v>
      </c>
      <c r="G5" s="13">
        <v>423.0</v>
      </c>
      <c r="H5" s="10">
        <f t="shared" ref="H5:I5" si="32">F5</f>
        <v>0.2847222222</v>
      </c>
      <c r="I5" s="11">
        <f t="shared" si="32"/>
        <v>423</v>
      </c>
      <c r="J5" s="12">
        <v>0.3090277777777778</v>
      </c>
      <c r="K5" s="13">
        <v>409.26</v>
      </c>
      <c r="L5" s="14">
        <f t="shared" ref="L5:M5" si="33">J5</f>
        <v>0.3090277778</v>
      </c>
      <c r="M5" s="15">
        <f t="shared" si="33"/>
        <v>409.26</v>
      </c>
      <c r="N5" s="12">
        <v>0.3541666666666667</v>
      </c>
      <c r="O5" s="13">
        <v>423.35</v>
      </c>
      <c r="P5" s="14">
        <f t="shared" ref="P5:Q5" si="34">N5</f>
        <v>0.3541666667</v>
      </c>
      <c r="Q5" s="15">
        <f t="shared" si="34"/>
        <v>423.35</v>
      </c>
      <c r="R5" s="12">
        <v>0.4965277777777778</v>
      </c>
      <c r="S5" s="13">
        <v>410.82</v>
      </c>
      <c r="T5" s="25">
        <f t="shared" ref="T5:T17" si="37">R5</f>
        <v>0.4965277778</v>
      </c>
      <c r="U5" s="9"/>
      <c r="V5" s="19"/>
      <c r="W5" s="9"/>
      <c r="X5" s="9">
        <f t="shared" si="7"/>
        <v>24.38</v>
      </c>
      <c r="Y5" s="9">
        <f t="shared" si="8"/>
        <v>-13.74</v>
      </c>
      <c r="Z5" s="15">
        <f t="shared" si="9"/>
        <v>14.09</v>
      </c>
      <c r="AA5" s="15">
        <f t="shared" si="10"/>
        <v>-12.53</v>
      </c>
      <c r="AB5" s="15" t="str">
        <f t="shared" si="11"/>
        <v/>
      </c>
      <c r="AC5" s="9">
        <f t="shared" si="12"/>
        <v>24.38</v>
      </c>
      <c r="AD5" s="15">
        <f t="shared" si="13"/>
        <v>13.74</v>
      </c>
      <c r="AE5" s="15">
        <f t="shared" si="14"/>
        <v>14.09</v>
      </c>
      <c r="AF5" s="15">
        <f t="shared" si="15"/>
        <v>12.53</v>
      </c>
      <c r="AG5" s="15" t="str">
        <f t="shared" si="16"/>
        <v/>
      </c>
      <c r="AH5" s="20">
        <f t="shared" si="17"/>
        <v>64.74</v>
      </c>
      <c r="AI5" s="20">
        <f t="shared" si="18"/>
        <v>11.99</v>
      </c>
      <c r="AJ5" s="21">
        <f t="shared" si="19"/>
        <v>0.1852023479</v>
      </c>
      <c r="AK5" s="15" t="str">
        <f t="shared" si="20"/>
        <v>CHOP</v>
      </c>
      <c r="AL5" s="15">
        <f t="shared" si="21"/>
        <v>4</v>
      </c>
      <c r="AM5" s="22">
        <f t="shared" si="22"/>
        <v>16.185</v>
      </c>
      <c r="AN5" s="9">
        <f t="shared" si="23"/>
        <v>24.38</v>
      </c>
      <c r="AO5" s="23" t="str">
        <f t="shared" si="24"/>
        <v>Move1</v>
      </c>
      <c r="AP5" s="9" t="str">
        <f t="shared" si="25"/>
        <v>OBSERVE / LIGHT</v>
      </c>
      <c r="AQ5" s="9" t="str">
        <f t="shared" si="26"/>
        <v>AFTER 7:15 AM</v>
      </c>
      <c r="AR5" s="9"/>
      <c r="AS5" s="24"/>
    </row>
    <row r="6">
      <c r="A6" s="8">
        <f t="shared" si="31"/>
        <v>46038</v>
      </c>
      <c r="C6" s="9">
        <f>IFERROR(__xludf.DUMMYFUNCTION("INDEX(GOOGLEFINANCE(""NASDAQ:SNDK"",""open"",A6,A6),2,2)"),425.59)</f>
        <v>425.59</v>
      </c>
      <c r="D6" s="10">
        <v>0.2708333333333333</v>
      </c>
      <c r="E6" s="11">
        <v>425.59</v>
      </c>
      <c r="F6" s="27">
        <v>0.3715277777777778</v>
      </c>
      <c r="G6" s="13">
        <v>399.7</v>
      </c>
      <c r="H6" s="10">
        <f t="shared" ref="H6:I6" si="35">F6</f>
        <v>0.3715277778</v>
      </c>
      <c r="I6" s="11">
        <f t="shared" si="35"/>
        <v>399.7</v>
      </c>
      <c r="J6" s="12">
        <v>0.5069444444444444</v>
      </c>
      <c r="K6" s="13">
        <v>414.43</v>
      </c>
      <c r="L6" s="14">
        <f t="shared" ref="L6:L18" si="39">J6</f>
        <v>0.5069444444</v>
      </c>
      <c r="N6" s="17"/>
      <c r="P6" s="16" t="str">
        <f t="shared" ref="P6:Q6" si="36">N6</f>
        <v/>
      </c>
      <c r="Q6" s="15" t="str">
        <f t="shared" si="36"/>
        <v/>
      </c>
      <c r="R6" s="17"/>
      <c r="T6" s="18" t="str">
        <f t="shared" si="37"/>
        <v/>
      </c>
      <c r="U6" s="9"/>
      <c r="V6" s="19"/>
      <c r="W6" s="9"/>
      <c r="X6" s="9">
        <f t="shared" si="7"/>
        <v>-25.89</v>
      </c>
      <c r="Y6" s="9">
        <f t="shared" si="8"/>
        <v>14.73</v>
      </c>
      <c r="Z6" s="15" t="str">
        <f t="shared" si="9"/>
        <v/>
      </c>
      <c r="AA6" s="15" t="str">
        <f t="shared" si="10"/>
        <v/>
      </c>
      <c r="AB6" s="15" t="str">
        <f t="shared" si="11"/>
        <v/>
      </c>
      <c r="AC6" s="9">
        <f t="shared" si="12"/>
        <v>25.89</v>
      </c>
      <c r="AD6" s="15">
        <f t="shared" si="13"/>
        <v>14.73</v>
      </c>
      <c r="AE6" s="15" t="str">
        <f t="shared" si="14"/>
        <v/>
      </c>
      <c r="AF6" s="15" t="str">
        <f t="shared" si="15"/>
        <v/>
      </c>
      <c r="AG6" s="15" t="str">
        <f t="shared" si="16"/>
        <v/>
      </c>
      <c r="AH6" s="20">
        <f t="shared" si="17"/>
        <v>40.62</v>
      </c>
      <c r="AI6" s="20">
        <f t="shared" si="18"/>
        <v>-11.16</v>
      </c>
      <c r="AJ6" s="21">
        <f t="shared" si="19"/>
        <v>0.2747415066</v>
      </c>
      <c r="AK6" s="15" t="str">
        <f t="shared" si="20"/>
        <v>MIXED</v>
      </c>
      <c r="AL6" s="15">
        <f t="shared" si="21"/>
        <v>2</v>
      </c>
      <c r="AM6" s="22">
        <f t="shared" si="22"/>
        <v>20.31</v>
      </c>
      <c r="AN6" s="9">
        <f t="shared" si="23"/>
        <v>25.89</v>
      </c>
      <c r="AO6" s="23" t="str">
        <f t="shared" si="24"/>
        <v/>
      </c>
      <c r="AP6" s="9" t="str">
        <f t="shared" si="25"/>
        <v>OBSERVE / LIGHT</v>
      </c>
      <c r="AQ6" s="9" t="str">
        <f t="shared" si="26"/>
        <v>WAIT FOR EXTREMES</v>
      </c>
      <c r="AR6" s="9"/>
      <c r="AS6" s="24"/>
    </row>
    <row r="7">
      <c r="A7" s="8">
        <f t="shared" si="31"/>
        <v>46039</v>
      </c>
      <c r="C7" s="9"/>
      <c r="D7" s="10"/>
      <c r="F7" s="17"/>
      <c r="H7" s="28" t="str">
        <f t="shared" ref="H7:I7" si="38">F7</f>
        <v/>
      </c>
      <c r="I7" s="11" t="str">
        <f t="shared" si="38"/>
        <v/>
      </c>
      <c r="J7" s="17"/>
      <c r="L7" s="16" t="str">
        <f t="shared" si="39"/>
        <v/>
      </c>
      <c r="M7" s="15" t="str">
        <f t="shared" ref="M7:M18" si="42">K7</f>
        <v/>
      </c>
      <c r="N7" s="17"/>
      <c r="P7" s="16" t="str">
        <f t="shared" ref="P7:Q7" si="40">N7</f>
        <v/>
      </c>
      <c r="Q7" s="15" t="str">
        <f t="shared" si="40"/>
        <v/>
      </c>
      <c r="R7" s="17"/>
      <c r="T7" s="18" t="str">
        <f t="shared" si="37"/>
        <v/>
      </c>
      <c r="U7" s="9"/>
      <c r="V7" s="19"/>
      <c r="W7" s="9"/>
      <c r="X7" s="9" t="str">
        <f t="shared" si="7"/>
        <v/>
      </c>
      <c r="Y7" s="9" t="str">
        <f t="shared" si="8"/>
        <v/>
      </c>
      <c r="Z7" s="15" t="str">
        <f t="shared" si="9"/>
        <v/>
      </c>
      <c r="AA7" s="15" t="str">
        <f t="shared" si="10"/>
        <v/>
      </c>
      <c r="AB7" s="15" t="str">
        <f t="shared" si="11"/>
        <v/>
      </c>
      <c r="AC7" s="9" t="str">
        <f t="shared" si="12"/>
        <v/>
      </c>
      <c r="AD7" s="15" t="str">
        <f t="shared" si="13"/>
        <v/>
      </c>
      <c r="AE7" s="15" t="str">
        <f t="shared" si="14"/>
        <v/>
      </c>
      <c r="AF7" s="15" t="str">
        <f t="shared" si="15"/>
        <v/>
      </c>
      <c r="AG7" s="15" t="str">
        <f t="shared" si="16"/>
        <v/>
      </c>
      <c r="AH7" s="20"/>
      <c r="AI7" s="20" t="str">
        <f t="shared" si="18"/>
        <v/>
      </c>
      <c r="AJ7" s="21" t="str">
        <f t="shared" si="19"/>
        <v/>
      </c>
      <c r="AK7" s="15" t="str">
        <f t="shared" si="20"/>
        <v/>
      </c>
      <c r="AL7" s="15">
        <f t="shared" si="21"/>
        <v>0</v>
      </c>
      <c r="AM7" s="22" t="str">
        <f t="shared" si="22"/>
        <v/>
      </c>
      <c r="AN7" s="9">
        <f t="shared" si="23"/>
        <v>0</v>
      </c>
      <c r="AO7" s="23" t="str">
        <f t="shared" si="24"/>
        <v/>
      </c>
      <c r="AP7" s="9" t="str">
        <f t="shared" si="25"/>
        <v/>
      </c>
      <c r="AQ7" s="9" t="str">
        <f t="shared" si="26"/>
        <v/>
      </c>
      <c r="AR7" s="9"/>
      <c r="AS7" s="24"/>
    </row>
    <row r="8">
      <c r="A8" s="8">
        <f t="shared" si="31"/>
        <v>46040</v>
      </c>
      <c r="C8" s="9"/>
      <c r="D8" s="10"/>
      <c r="F8" s="17"/>
      <c r="H8" s="28" t="str">
        <f t="shared" ref="H8:I8" si="41">F8</f>
        <v/>
      </c>
      <c r="I8" s="11" t="str">
        <f t="shared" si="41"/>
        <v/>
      </c>
      <c r="J8" s="17"/>
      <c r="L8" s="16" t="str">
        <f t="shared" si="39"/>
        <v/>
      </c>
      <c r="M8" s="15" t="str">
        <f t="shared" si="42"/>
        <v/>
      </c>
      <c r="N8" s="17"/>
      <c r="P8" s="16" t="str">
        <f t="shared" ref="P8:Q8" si="43">N8</f>
        <v/>
      </c>
      <c r="Q8" s="15" t="str">
        <f t="shared" si="43"/>
        <v/>
      </c>
      <c r="R8" s="17"/>
      <c r="T8" s="18" t="str">
        <f t="shared" si="37"/>
        <v/>
      </c>
      <c r="U8" s="9"/>
      <c r="V8" s="19"/>
      <c r="W8" s="9"/>
      <c r="X8" s="9" t="str">
        <f t="shared" si="7"/>
        <v/>
      </c>
      <c r="Y8" s="9" t="str">
        <f t="shared" si="8"/>
        <v/>
      </c>
      <c r="Z8" s="15" t="str">
        <f t="shared" si="9"/>
        <v/>
      </c>
      <c r="AA8" s="15" t="str">
        <f t="shared" si="10"/>
        <v/>
      </c>
      <c r="AB8" s="15" t="str">
        <f t="shared" si="11"/>
        <v/>
      </c>
      <c r="AC8" s="9" t="str">
        <f t="shared" si="12"/>
        <v/>
      </c>
      <c r="AD8" s="15" t="str">
        <f t="shared" si="13"/>
        <v/>
      </c>
      <c r="AE8" s="15" t="str">
        <f t="shared" si="14"/>
        <v/>
      </c>
      <c r="AF8" s="15" t="str">
        <f t="shared" si="15"/>
        <v/>
      </c>
      <c r="AG8" s="15" t="str">
        <f t="shared" si="16"/>
        <v/>
      </c>
      <c r="AH8" s="20"/>
      <c r="AI8" s="20" t="str">
        <f t="shared" si="18"/>
        <v/>
      </c>
      <c r="AJ8" s="21" t="str">
        <f t="shared" si="19"/>
        <v/>
      </c>
      <c r="AK8" s="15" t="str">
        <f t="shared" si="20"/>
        <v/>
      </c>
      <c r="AL8" s="15">
        <f t="shared" si="21"/>
        <v>0</v>
      </c>
      <c r="AM8" s="22" t="str">
        <f t="shared" si="22"/>
        <v/>
      </c>
      <c r="AN8" s="9">
        <f t="shared" si="23"/>
        <v>0</v>
      </c>
      <c r="AO8" s="23" t="str">
        <f t="shared" si="24"/>
        <v/>
      </c>
      <c r="AP8" s="9" t="str">
        <f t="shared" si="25"/>
        <v/>
      </c>
      <c r="AQ8" s="9" t="str">
        <f t="shared" si="26"/>
        <v/>
      </c>
      <c r="AR8" s="9"/>
      <c r="AS8" s="24"/>
    </row>
    <row r="9">
      <c r="A9" s="8">
        <f t="shared" si="31"/>
        <v>46041</v>
      </c>
      <c r="C9" s="9"/>
      <c r="D9" s="10"/>
      <c r="F9" s="17"/>
      <c r="H9" s="28" t="str">
        <f t="shared" ref="H9:I9" si="44">F9</f>
        <v/>
      </c>
      <c r="I9" s="11" t="str">
        <f t="shared" si="44"/>
        <v/>
      </c>
      <c r="J9" s="17"/>
      <c r="L9" s="16" t="str">
        <f t="shared" si="39"/>
        <v/>
      </c>
      <c r="M9" s="15" t="str">
        <f t="shared" si="42"/>
        <v/>
      </c>
      <c r="N9" s="17"/>
      <c r="P9" s="16" t="str">
        <f t="shared" ref="P9:Q9" si="45">N9</f>
        <v/>
      </c>
      <c r="Q9" s="15" t="str">
        <f t="shared" si="45"/>
        <v/>
      </c>
      <c r="R9" s="17"/>
      <c r="T9" s="18" t="str">
        <f t="shared" si="37"/>
        <v/>
      </c>
      <c r="U9" s="9"/>
      <c r="V9" s="19"/>
      <c r="W9" s="9"/>
      <c r="X9" s="9" t="str">
        <f t="shared" si="7"/>
        <v/>
      </c>
      <c r="Y9" s="9" t="str">
        <f t="shared" si="8"/>
        <v/>
      </c>
      <c r="Z9" s="15" t="str">
        <f t="shared" si="9"/>
        <v/>
      </c>
      <c r="AA9" s="15" t="str">
        <f t="shared" si="10"/>
        <v/>
      </c>
      <c r="AB9" s="15" t="str">
        <f t="shared" si="11"/>
        <v/>
      </c>
      <c r="AC9" s="9" t="str">
        <f t="shared" si="12"/>
        <v/>
      </c>
      <c r="AD9" s="15" t="str">
        <f t="shared" si="13"/>
        <v/>
      </c>
      <c r="AE9" s="15" t="str">
        <f t="shared" si="14"/>
        <v/>
      </c>
      <c r="AF9" s="15" t="str">
        <f t="shared" si="15"/>
        <v/>
      </c>
      <c r="AG9" s="15" t="str">
        <f t="shared" si="16"/>
        <v/>
      </c>
      <c r="AH9" s="20"/>
      <c r="AI9" s="20" t="str">
        <f t="shared" si="18"/>
        <v/>
      </c>
      <c r="AJ9" s="21" t="str">
        <f t="shared" si="19"/>
        <v/>
      </c>
      <c r="AK9" s="15" t="str">
        <f t="shared" si="20"/>
        <v/>
      </c>
      <c r="AL9" s="15">
        <f t="shared" si="21"/>
        <v>0</v>
      </c>
      <c r="AM9" s="22" t="str">
        <f t="shared" si="22"/>
        <v/>
      </c>
      <c r="AN9" s="9">
        <f t="shared" si="23"/>
        <v>0</v>
      </c>
      <c r="AO9" s="23" t="str">
        <f t="shared" si="24"/>
        <v/>
      </c>
      <c r="AP9" s="9" t="str">
        <f t="shared" si="25"/>
        <v/>
      </c>
      <c r="AQ9" s="9" t="str">
        <f t="shared" si="26"/>
        <v/>
      </c>
      <c r="AR9" s="9"/>
      <c r="AS9" s="24"/>
    </row>
    <row r="10">
      <c r="A10" s="8">
        <f t="shared" si="31"/>
        <v>46042</v>
      </c>
      <c r="C10" s="9">
        <f>IFERROR(__xludf.DUMMYFUNCTION("INDEX(GOOGLEFINANCE(""NASDAQ:SNDK"",""open"",A10,A10),2,2)"),412.17)</f>
        <v>412.17</v>
      </c>
      <c r="D10" s="10">
        <v>0.2708333333333333</v>
      </c>
      <c r="E10" s="13">
        <v>413.5</v>
      </c>
      <c r="F10" s="29"/>
      <c r="G10" s="30"/>
      <c r="H10" s="28" t="str">
        <f t="shared" ref="H10:I10" si="46">F10</f>
        <v/>
      </c>
      <c r="I10" s="30" t="str">
        <f t="shared" si="46"/>
        <v/>
      </c>
      <c r="J10" s="29"/>
      <c r="K10" s="13">
        <v>436.21</v>
      </c>
      <c r="L10" s="16" t="str">
        <f t="shared" si="39"/>
        <v/>
      </c>
      <c r="M10" s="15">
        <f t="shared" si="42"/>
        <v>436.21</v>
      </c>
      <c r="N10" s="17"/>
      <c r="O10" s="13">
        <v>454.34</v>
      </c>
      <c r="P10" s="16" t="str">
        <f t="shared" ref="P10:Q10" si="47">N10</f>
        <v/>
      </c>
      <c r="Q10" s="15">
        <f t="shared" si="47"/>
        <v>454.34</v>
      </c>
      <c r="R10" s="17"/>
      <c r="S10" s="13">
        <v>442.08</v>
      </c>
      <c r="T10" s="18" t="str">
        <f t="shared" si="37"/>
        <v/>
      </c>
      <c r="U10" s="9">
        <f t="shared" ref="U10:U11" si="50">S10</f>
        <v>442.08</v>
      </c>
      <c r="V10" s="19"/>
      <c r="W10" s="11">
        <v>457.37</v>
      </c>
      <c r="X10" s="9" t="str">
        <f t="shared" si="7"/>
        <v/>
      </c>
      <c r="Y10" s="9" t="str">
        <f t="shared" si="8"/>
        <v/>
      </c>
      <c r="Z10" s="15">
        <f t="shared" si="9"/>
        <v>18.13</v>
      </c>
      <c r="AA10" s="15">
        <f t="shared" si="10"/>
        <v>-12.26</v>
      </c>
      <c r="AB10" s="15">
        <f t="shared" si="11"/>
        <v>15.29</v>
      </c>
      <c r="AC10" s="9" t="str">
        <f t="shared" si="12"/>
        <v/>
      </c>
      <c r="AD10" s="15" t="str">
        <f t="shared" si="13"/>
        <v/>
      </c>
      <c r="AE10" s="15">
        <f t="shared" si="14"/>
        <v>18.13</v>
      </c>
      <c r="AF10" s="15">
        <f t="shared" si="15"/>
        <v>12.26</v>
      </c>
      <c r="AG10" s="15">
        <f t="shared" si="16"/>
        <v>15.29</v>
      </c>
      <c r="AH10" s="20">
        <f t="shared" ref="AH10:AH13" si="51">SUM($AC10,$AD10,$AE10,$AF10,$AG10)</f>
        <v>45.68</v>
      </c>
      <c r="AI10" s="20">
        <f t="shared" si="18"/>
        <v>45.2</v>
      </c>
      <c r="AJ10" s="21">
        <f t="shared" si="19"/>
        <v>0.9894921191</v>
      </c>
      <c r="AK10" s="15" t="str">
        <f t="shared" si="20"/>
        <v>TREND</v>
      </c>
      <c r="AL10" s="15">
        <f t="shared" si="21"/>
        <v>3</v>
      </c>
      <c r="AM10" s="22">
        <f t="shared" si="22"/>
        <v>15.22666667</v>
      </c>
      <c r="AN10" s="9">
        <f t="shared" si="23"/>
        <v>18.13</v>
      </c>
      <c r="AO10" s="23" t="str">
        <f t="shared" si="24"/>
        <v>Move5</v>
      </c>
      <c r="AP10" s="9" t="str">
        <f t="shared" si="25"/>
        <v>TREND DAY</v>
      </c>
      <c r="AQ10" s="9" t="str">
        <f t="shared" si="26"/>
        <v>6:30–7:15 AM</v>
      </c>
      <c r="AR10" s="9"/>
      <c r="AS10" s="24"/>
    </row>
    <row r="11">
      <c r="A11" s="8">
        <f t="shared" si="31"/>
        <v>46043</v>
      </c>
      <c r="C11" s="9">
        <f>IFERROR(__xludf.DUMMYFUNCTION("INDEX(GOOGLEFINANCE(""NASDAQ:SNDK"",""open"",A11,A11),2,2)"),463.05)</f>
        <v>463.05</v>
      </c>
      <c r="D11" s="10">
        <v>0.2708333333333333</v>
      </c>
      <c r="E11" s="13">
        <v>448.53</v>
      </c>
      <c r="F11" s="12">
        <v>0.3506944444444444</v>
      </c>
      <c r="G11" s="13">
        <v>482.5</v>
      </c>
      <c r="H11" s="10">
        <f t="shared" ref="H11:I11" si="48">F11</f>
        <v>0.3506944444</v>
      </c>
      <c r="I11" s="11">
        <f t="shared" si="48"/>
        <v>482.5</v>
      </c>
      <c r="J11" s="12">
        <v>0.3958333333333333</v>
      </c>
      <c r="K11" s="13">
        <v>471.3</v>
      </c>
      <c r="L11" s="14">
        <f t="shared" si="39"/>
        <v>0.3958333333</v>
      </c>
      <c r="M11" s="15">
        <f t="shared" si="42"/>
        <v>471.3</v>
      </c>
      <c r="N11" s="12">
        <v>0.5381944444444444</v>
      </c>
      <c r="O11" s="13">
        <v>501.94</v>
      </c>
      <c r="P11" s="14">
        <f t="shared" ref="P11:Q11" si="49">N11</f>
        <v>0.5381944444</v>
      </c>
      <c r="Q11" s="15">
        <f t="shared" si="49"/>
        <v>501.94</v>
      </c>
      <c r="R11" s="17"/>
      <c r="T11" s="18" t="str">
        <f t="shared" si="37"/>
        <v/>
      </c>
      <c r="U11" s="9" t="str">
        <f t="shared" si="50"/>
        <v/>
      </c>
      <c r="V11" s="19"/>
      <c r="W11" s="11"/>
      <c r="X11" s="9">
        <f t="shared" si="7"/>
        <v>33.97</v>
      </c>
      <c r="Y11" s="9">
        <f t="shared" si="8"/>
        <v>-11.2</v>
      </c>
      <c r="Z11" s="15">
        <f t="shared" ref="Z11:Z20" si="54">IF(OR(M11="",O11=""),"",O11-M11)</f>
        <v>30.64</v>
      </c>
      <c r="AA11" s="15" t="str">
        <f t="shared" si="10"/>
        <v/>
      </c>
      <c r="AB11" s="15" t="str">
        <f t="shared" si="11"/>
        <v/>
      </c>
      <c r="AC11" s="9">
        <f t="shared" si="12"/>
        <v>33.97</v>
      </c>
      <c r="AD11" s="15">
        <f t="shared" si="13"/>
        <v>11.2</v>
      </c>
      <c r="AE11" s="15">
        <f t="shared" si="14"/>
        <v>30.64</v>
      </c>
      <c r="AF11" s="15" t="str">
        <f t="shared" si="15"/>
        <v/>
      </c>
      <c r="AG11" s="15" t="str">
        <f t="shared" si="16"/>
        <v/>
      </c>
      <c r="AH11" s="20">
        <f t="shared" si="51"/>
        <v>75.81</v>
      </c>
      <c r="AI11" s="20">
        <f t="shared" si="18"/>
        <v>38.89</v>
      </c>
      <c r="AJ11" s="21">
        <f t="shared" si="19"/>
        <v>0.5129930088</v>
      </c>
      <c r="AK11" s="15" t="str">
        <f t="shared" si="20"/>
        <v>TREND</v>
      </c>
      <c r="AL11" s="15">
        <f t="shared" si="21"/>
        <v>3</v>
      </c>
      <c r="AM11" s="22">
        <f t="shared" si="22"/>
        <v>25.27</v>
      </c>
      <c r="AN11" s="9">
        <f t="shared" si="23"/>
        <v>33.97</v>
      </c>
      <c r="AO11" s="23" t="str">
        <f t="shared" si="24"/>
        <v/>
      </c>
      <c r="AP11" s="9" t="str">
        <f t="shared" si="25"/>
        <v>TREND DAY</v>
      </c>
      <c r="AQ11" s="9" t="str">
        <f t="shared" si="26"/>
        <v>6:30–7:15 AM</v>
      </c>
      <c r="AR11" s="9"/>
      <c r="AS11" s="24"/>
    </row>
    <row r="12">
      <c r="A12" s="8">
        <f t="shared" si="31"/>
        <v>46044</v>
      </c>
      <c r="C12" s="9">
        <f>IFERROR(__xludf.DUMMYFUNCTION("INDEX(GOOGLEFINANCE(""NASDAQ:SNDK"",""open"",A12,A12),2,2)"),501.29)</f>
        <v>501.29</v>
      </c>
      <c r="D12" s="10">
        <v>0.2708333333333333</v>
      </c>
      <c r="E12" s="13">
        <v>501.29</v>
      </c>
      <c r="F12" s="12">
        <v>0.28125</v>
      </c>
      <c r="G12" s="13">
        <v>467.56</v>
      </c>
      <c r="H12" s="10">
        <f t="shared" ref="H12:I12" si="52">F12</f>
        <v>0.28125</v>
      </c>
      <c r="I12" s="11">
        <f t="shared" si="52"/>
        <v>467.56</v>
      </c>
      <c r="J12" s="12">
        <v>0.40625</v>
      </c>
      <c r="K12" s="13">
        <v>502.48</v>
      </c>
      <c r="L12" s="14">
        <f t="shared" si="39"/>
        <v>0.40625</v>
      </c>
      <c r="M12" s="15">
        <f t="shared" si="42"/>
        <v>502.48</v>
      </c>
      <c r="N12" s="12">
        <v>0.4583333333333333</v>
      </c>
      <c r="O12" s="13">
        <v>487.04</v>
      </c>
      <c r="P12" s="14">
        <f t="shared" ref="P12:Q12" si="53">N12</f>
        <v>0.4583333333</v>
      </c>
      <c r="Q12" s="15">
        <f t="shared" si="53"/>
        <v>487.04</v>
      </c>
      <c r="R12" s="12">
        <v>0.5277777777777778</v>
      </c>
      <c r="S12" s="13">
        <v>509.5</v>
      </c>
      <c r="T12" s="25">
        <f t="shared" si="37"/>
        <v>0.5277777778</v>
      </c>
      <c r="U12" s="9"/>
      <c r="V12" s="19"/>
      <c r="W12" s="11"/>
      <c r="X12" s="9">
        <f t="shared" si="7"/>
        <v>-33.73</v>
      </c>
      <c r="Y12" s="9">
        <f t="shared" si="8"/>
        <v>34.92</v>
      </c>
      <c r="Z12" s="15">
        <f t="shared" si="54"/>
        <v>-15.44</v>
      </c>
      <c r="AA12" s="15">
        <f t="shared" si="10"/>
        <v>22.46</v>
      </c>
      <c r="AB12" s="15" t="str">
        <f t="shared" si="11"/>
        <v/>
      </c>
      <c r="AC12" s="9">
        <f t="shared" si="12"/>
        <v>33.73</v>
      </c>
      <c r="AD12" s="15">
        <f t="shared" si="13"/>
        <v>34.92</v>
      </c>
      <c r="AE12" s="15">
        <f t="shared" si="14"/>
        <v>15.44</v>
      </c>
      <c r="AF12" s="15">
        <f t="shared" si="15"/>
        <v>22.46</v>
      </c>
      <c r="AG12" s="15" t="str">
        <f t="shared" si="16"/>
        <v/>
      </c>
      <c r="AH12" s="20">
        <f t="shared" si="51"/>
        <v>106.55</v>
      </c>
      <c r="AI12" s="20">
        <f t="shared" si="18"/>
        <v>8.21</v>
      </c>
      <c r="AJ12" s="21">
        <f t="shared" si="19"/>
        <v>0.07705302675</v>
      </c>
      <c r="AK12" s="15" t="str">
        <f t="shared" si="20"/>
        <v>CHOP</v>
      </c>
      <c r="AL12" s="15">
        <f t="shared" si="21"/>
        <v>4</v>
      </c>
      <c r="AM12" s="22">
        <f t="shared" si="22"/>
        <v>26.6375</v>
      </c>
      <c r="AN12" s="9">
        <f t="shared" si="23"/>
        <v>34.92</v>
      </c>
      <c r="AO12" s="23" t="str">
        <f t="shared" si="24"/>
        <v>Move1</v>
      </c>
      <c r="AP12" s="9" t="str">
        <f t="shared" si="25"/>
        <v>MEAN REVERSION DAY</v>
      </c>
      <c r="AQ12" s="9" t="str">
        <f t="shared" si="26"/>
        <v>AFTER 7:15 AM</v>
      </c>
      <c r="AR12" s="9"/>
      <c r="AS12" s="24"/>
    </row>
    <row r="13">
      <c r="A13" s="8">
        <f t="shared" si="31"/>
        <v>46045</v>
      </c>
      <c r="C13" s="9">
        <f>IFERROR(__xludf.DUMMYFUNCTION("INDEX(GOOGLEFINANCE(""NASDAQ:SNDK"",""open"",A13,A13),2,2)"),503.44)</f>
        <v>503.44</v>
      </c>
      <c r="D13" s="10">
        <v>0.2708333333333333</v>
      </c>
      <c r="E13" s="13">
        <v>503.44</v>
      </c>
      <c r="F13" s="12">
        <v>0.28125</v>
      </c>
      <c r="G13" s="13">
        <v>475.15</v>
      </c>
      <c r="H13" s="10">
        <f t="shared" ref="H13:I13" si="55">F13</f>
        <v>0.28125</v>
      </c>
      <c r="I13" s="11">
        <f t="shared" si="55"/>
        <v>475.15</v>
      </c>
      <c r="J13" s="12">
        <v>0.3055555555555556</v>
      </c>
      <c r="K13" s="13">
        <v>506.3</v>
      </c>
      <c r="L13" s="14">
        <f t="shared" si="39"/>
        <v>0.3055555556</v>
      </c>
      <c r="M13" s="15">
        <f t="shared" si="42"/>
        <v>506.3</v>
      </c>
      <c r="N13" s="12">
        <v>0.40625</v>
      </c>
      <c r="O13" s="13">
        <v>463.01</v>
      </c>
      <c r="P13" s="14">
        <f t="shared" ref="P13:Q13" si="56">N13</f>
        <v>0.40625</v>
      </c>
      <c r="Q13" s="15">
        <f t="shared" si="56"/>
        <v>463.01</v>
      </c>
      <c r="R13" s="12">
        <v>0.4861111111111111</v>
      </c>
      <c r="S13" s="13">
        <v>482.39</v>
      </c>
      <c r="T13" s="25">
        <f t="shared" si="37"/>
        <v>0.4861111111</v>
      </c>
      <c r="U13" s="9">
        <f t="shared" ref="U13:U17" si="59">S13</f>
        <v>482.39</v>
      </c>
      <c r="V13" s="26">
        <v>0.5347222222222222</v>
      </c>
      <c r="W13" s="11">
        <v>471.0</v>
      </c>
      <c r="X13" s="9">
        <f t="shared" si="7"/>
        <v>-28.29</v>
      </c>
      <c r="Y13" s="9">
        <f t="shared" si="8"/>
        <v>31.15</v>
      </c>
      <c r="Z13" s="15">
        <f t="shared" si="54"/>
        <v>-43.29</v>
      </c>
      <c r="AA13" s="15">
        <f t="shared" si="10"/>
        <v>19.38</v>
      </c>
      <c r="AB13" s="15">
        <f t="shared" si="11"/>
        <v>-11.39</v>
      </c>
      <c r="AC13" s="9">
        <f t="shared" si="12"/>
        <v>28.29</v>
      </c>
      <c r="AD13" s="15">
        <f t="shared" si="13"/>
        <v>31.15</v>
      </c>
      <c r="AE13" s="15">
        <f t="shared" si="14"/>
        <v>43.29</v>
      </c>
      <c r="AF13" s="15">
        <f t="shared" si="15"/>
        <v>19.38</v>
      </c>
      <c r="AG13" s="15">
        <f t="shared" si="16"/>
        <v>11.39</v>
      </c>
      <c r="AH13" s="20">
        <f t="shared" si="51"/>
        <v>133.5</v>
      </c>
      <c r="AI13" s="20">
        <f t="shared" si="18"/>
        <v>-32.44</v>
      </c>
      <c r="AJ13" s="21">
        <f t="shared" si="19"/>
        <v>0.2429962547</v>
      </c>
      <c r="AK13" s="15" t="str">
        <f t="shared" si="20"/>
        <v>CHOP</v>
      </c>
      <c r="AL13" s="15">
        <f t="shared" si="21"/>
        <v>5</v>
      </c>
      <c r="AM13" s="22">
        <f t="shared" si="22"/>
        <v>26.7</v>
      </c>
      <c r="AN13" s="9">
        <f t="shared" si="23"/>
        <v>43.29</v>
      </c>
      <c r="AO13" s="23" t="str">
        <f t="shared" si="24"/>
        <v>Move1</v>
      </c>
      <c r="AP13" s="9" t="str">
        <f t="shared" si="25"/>
        <v>MEAN REVERSION DAY</v>
      </c>
      <c r="AQ13" s="9" t="str">
        <f t="shared" si="26"/>
        <v>AFTER 7:15 AM</v>
      </c>
      <c r="AR13" s="9"/>
      <c r="AS13" s="24"/>
    </row>
    <row r="14">
      <c r="A14" s="8">
        <f t="shared" si="31"/>
        <v>46046</v>
      </c>
      <c r="C14" s="9"/>
      <c r="D14" s="10"/>
      <c r="F14" s="17"/>
      <c r="H14" s="28" t="str">
        <f t="shared" ref="H14:I14" si="57">F14</f>
        <v/>
      </c>
      <c r="I14" s="11" t="str">
        <f t="shared" si="57"/>
        <v/>
      </c>
      <c r="J14" s="17"/>
      <c r="L14" s="16" t="str">
        <f t="shared" si="39"/>
        <v/>
      </c>
      <c r="M14" s="15" t="str">
        <f t="shared" si="42"/>
        <v/>
      </c>
      <c r="N14" s="17"/>
      <c r="P14" s="16" t="str">
        <f t="shared" ref="P14:Q14" si="58">N14</f>
        <v/>
      </c>
      <c r="Q14" s="15" t="str">
        <f t="shared" si="58"/>
        <v/>
      </c>
      <c r="R14" s="17"/>
      <c r="T14" s="18" t="str">
        <f t="shared" si="37"/>
        <v/>
      </c>
      <c r="U14" s="9" t="str">
        <f t="shared" si="59"/>
        <v/>
      </c>
      <c r="V14" s="19"/>
      <c r="W14" s="11"/>
      <c r="X14" s="9" t="str">
        <f t="shared" si="7"/>
        <v/>
      </c>
      <c r="Y14" s="9" t="str">
        <f t="shared" si="8"/>
        <v/>
      </c>
      <c r="Z14" s="15" t="str">
        <f t="shared" si="54"/>
        <v/>
      </c>
      <c r="AA14" s="15" t="str">
        <f t="shared" si="10"/>
        <v/>
      </c>
      <c r="AB14" s="15" t="str">
        <f t="shared" si="11"/>
        <v/>
      </c>
      <c r="AC14" s="9" t="str">
        <f t="shared" si="12"/>
        <v/>
      </c>
      <c r="AD14" s="15" t="str">
        <f t="shared" si="13"/>
        <v/>
      </c>
      <c r="AE14" s="15" t="str">
        <f t="shared" si="14"/>
        <v/>
      </c>
      <c r="AF14" s="15" t="str">
        <f t="shared" si="15"/>
        <v/>
      </c>
      <c r="AG14" s="15" t="str">
        <f t="shared" si="16"/>
        <v/>
      </c>
      <c r="AH14" s="20"/>
      <c r="AI14" s="20" t="str">
        <f t="shared" si="18"/>
        <v/>
      </c>
      <c r="AJ14" s="21" t="str">
        <f t="shared" si="19"/>
        <v/>
      </c>
      <c r="AK14" s="15" t="str">
        <f t="shared" si="20"/>
        <v/>
      </c>
      <c r="AL14" s="15">
        <f t="shared" si="21"/>
        <v>0</v>
      </c>
      <c r="AM14" s="22" t="str">
        <f t="shared" si="22"/>
        <v/>
      </c>
      <c r="AN14" s="9">
        <f t="shared" si="23"/>
        <v>0</v>
      </c>
      <c r="AO14" s="23" t="str">
        <f t="shared" si="24"/>
        <v/>
      </c>
      <c r="AP14" s="9" t="str">
        <f t="shared" si="25"/>
        <v/>
      </c>
      <c r="AQ14" s="9" t="str">
        <f t="shared" si="26"/>
        <v/>
      </c>
      <c r="AR14" s="9"/>
      <c r="AS14" s="24"/>
    </row>
    <row r="15">
      <c r="A15" s="8">
        <f t="shared" si="31"/>
        <v>46047</v>
      </c>
      <c r="C15" s="9"/>
      <c r="D15" s="10"/>
      <c r="F15" s="17"/>
      <c r="H15" s="28" t="str">
        <f t="shared" ref="H15:I15" si="60">F15</f>
        <v/>
      </c>
      <c r="I15" s="11" t="str">
        <f t="shared" si="60"/>
        <v/>
      </c>
      <c r="J15" s="17"/>
      <c r="L15" s="16" t="str">
        <f t="shared" si="39"/>
        <v/>
      </c>
      <c r="M15" s="15" t="str">
        <f t="shared" si="42"/>
        <v/>
      </c>
      <c r="N15" s="17"/>
      <c r="P15" s="16" t="str">
        <f t="shared" ref="P15:Q15" si="61">N15</f>
        <v/>
      </c>
      <c r="Q15" s="15" t="str">
        <f t="shared" si="61"/>
        <v/>
      </c>
      <c r="R15" s="17"/>
      <c r="T15" s="18" t="str">
        <f t="shared" si="37"/>
        <v/>
      </c>
      <c r="U15" s="9" t="str">
        <f t="shared" si="59"/>
        <v/>
      </c>
      <c r="V15" s="19"/>
      <c r="W15" s="11"/>
      <c r="X15" s="9" t="str">
        <f t="shared" si="7"/>
        <v/>
      </c>
      <c r="Y15" s="9" t="str">
        <f t="shared" si="8"/>
        <v/>
      </c>
      <c r="Z15" s="15" t="str">
        <f t="shared" si="54"/>
        <v/>
      </c>
      <c r="AA15" s="15" t="str">
        <f t="shared" si="10"/>
        <v/>
      </c>
      <c r="AB15" s="15" t="str">
        <f t="shared" si="11"/>
        <v/>
      </c>
      <c r="AC15" s="9" t="str">
        <f t="shared" si="12"/>
        <v/>
      </c>
      <c r="AD15" s="15" t="str">
        <f t="shared" si="13"/>
        <v/>
      </c>
      <c r="AE15" s="15" t="str">
        <f t="shared" si="14"/>
        <v/>
      </c>
      <c r="AF15" s="15" t="str">
        <f t="shared" si="15"/>
        <v/>
      </c>
      <c r="AG15" s="15" t="str">
        <f t="shared" si="16"/>
        <v/>
      </c>
      <c r="AH15" s="20"/>
      <c r="AI15" s="20" t="str">
        <f t="shared" si="18"/>
        <v/>
      </c>
      <c r="AJ15" s="21" t="str">
        <f t="shared" si="19"/>
        <v/>
      </c>
      <c r="AK15" s="15" t="str">
        <f t="shared" si="20"/>
        <v/>
      </c>
      <c r="AL15" s="15">
        <f t="shared" si="21"/>
        <v>0</v>
      </c>
      <c r="AM15" s="22" t="str">
        <f t="shared" si="22"/>
        <v/>
      </c>
      <c r="AN15" s="9">
        <f t="shared" si="23"/>
        <v>0</v>
      </c>
      <c r="AO15" s="23" t="str">
        <f t="shared" si="24"/>
        <v/>
      </c>
      <c r="AP15" s="9" t="str">
        <f t="shared" si="25"/>
        <v/>
      </c>
      <c r="AQ15" s="9" t="str">
        <f t="shared" si="26"/>
        <v/>
      </c>
      <c r="AR15" s="9"/>
      <c r="AS15" s="24"/>
    </row>
    <row r="16">
      <c r="A16" s="8">
        <f t="shared" si="31"/>
        <v>46048</v>
      </c>
      <c r="C16" s="9">
        <f>IFERROR(__xludf.DUMMYFUNCTION("INDEX(GOOGLEFINANCE(""NASDAQ:SNDK"",""open"",A16,A16),2,2)"),476.49)</f>
        <v>476.49</v>
      </c>
      <c r="D16" s="10">
        <v>0.2708333333333333</v>
      </c>
      <c r="E16" s="13">
        <v>476.85</v>
      </c>
      <c r="F16" s="12">
        <v>0.2777777777777778</v>
      </c>
      <c r="G16" s="13">
        <v>454.33</v>
      </c>
      <c r="H16" s="10">
        <f t="shared" ref="H16:I16" si="62">F16</f>
        <v>0.2777777778</v>
      </c>
      <c r="I16" s="11">
        <f t="shared" si="62"/>
        <v>454.33</v>
      </c>
      <c r="J16" s="12">
        <v>0.2986111111111111</v>
      </c>
      <c r="K16" s="13">
        <v>494.7</v>
      </c>
      <c r="L16" s="14">
        <f t="shared" si="39"/>
        <v>0.2986111111</v>
      </c>
      <c r="M16" s="15">
        <f t="shared" si="42"/>
        <v>494.7</v>
      </c>
      <c r="N16" s="12">
        <v>0.34375</v>
      </c>
      <c r="O16" s="13">
        <v>473.23</v>
      </c>
      <c r="P16" s="14">
        <f t="shared" ref="P16:Q16" si="63">N16</f>
        <v>0.34375</v>
      </c>
      <c r="Q16" s="15">
        <f t="shared" si="63"/>
        <v>473.23</v>
      </c>
      <c r="R16" s="12">
        <v>0.375</v>
      </c>
      <c r="S16" s="13">
        <v>486.0</v>
      </c>
      <c r="T16" s="25">
        <f t="shared" si="37"/>
        <v>0.375</v>
      </c>
      <c r="U16" s="9">
        <f t="shared" si="59"/>
        <v>486</v>
      </c>
      <c r="V16" s="26">
        <v>0.5347222222222222</v>
      </c>
      <c r="W16" s="11">
        <v>468.5</v>
      </c>
      <c r="X16" s="9">
        <f t="shared" si="7"/>
        <v>-22.52</v>
      </c>
      <c r="Y16" s="9">
        <f t="shared" si="8"/>
        <v>40.37</v>
      </c>
      <c r="Z16" s="15">
        <f t="shared" si="54"/>
        <v>-21.47</v>
      </c>
      <c r="AA16" s="15">
        <f t="shared" si="10"/>
        <v>12.77</v>
      </c>
      <c r="AB16" s="15">
        <f t="shared" si="11"/>
        <v>-17.5</v>
      </c>
      <c r="AC16" s="9">
        <f t="shared" si="12"/>
        <v>22.52</v>
      </c>
      <c r="AD16" s="15">
        <f t="shared" si="13"/>
        <v>40.37</v>
      </c>
      <c r="AE16" s="15">
        <f t="shared" si="14"/>
        <v>21.47</v>
      </c>
      <c r="AF16" s="15">
        <f t="shared" si="15"/>
        <v>12.77</v>
      </c>
      <c r="AG16" s="15">
        <f t="shared" si="16"/>
        <v>17.5</v>
      </c>
      <c r="AH16" s="20">
        <f t="shared" ref="AH16:AH20" si="66">SUM($AC16,$AD16,$AE16,$AF16,$AG16)</f>
        <v>114.63</v>
      </c>
      <c r="AI16" s="20">
        <f t="shared" si="18"/>
        <v>-7.99</v>
      </c>
      <c r="AJ16" s="21">
        <f t="shared" si="19"/>
        <v>0.06970252116</v>
      </c>
      <c r="AK16" s="15" t="str">
        <f t="shared" si="20"/>
        <v>CHOP</v>
      </c>
      <c r="AL16" s="15">
        <f t="shared" si="21"/>
        <v>5</v>
      </c>
      <c r="AM16" s="22">
        <f t="shared" si="22"/>
        <v>22.926</v>
      </c>
      <c r="AN16" s="9">
        <f t="shared" si="23"/>
        <v>40.37</v>
      </c>
      <c r="AO16" s="23" t="str">
        <f t="shared" si="24"/>
        <v>Move1</v>
      </c>
      <c r="AP16" s="9" t="str">
        <f t="shared" si="25"/>
        <v>MEAN REVERSION DAY</v>
      </c>
      <c r="AQ16" s="9" t="str">
        <f t="shared" si="26"/>
        <v>AFTER 7:15 AM</v>
      </c>
      <c r="AR16" s="9"/>
      <c r="AS16" s="24"/>
    </row>
    <row r="17">
      <c r="A17" s="8">
        <f t="shared" si="31"/>
        <v>46049</v>
      </c>
      <c r="C17" s="9">
        <f>IFERROR(__xludf.DUMMYFUNCTION("INDEX(GOOGLEFINANCE(""NASDAQ:SNDK"",""open"",A17,A17),2,2)"),481.01)</f>
        <v>481.01</v>
      </c>
      <c r="D17" s="10">
        <v>0.2708333333333333</v>
      </c>
      <c r="E17" s="13">
        <v>481.01</v>
      </c>
      <c r="F17" s="12">
        <v>0.2708333333333333</v>
      </c>
      <c r="G17" s="13">
        <v>503.0</v>
      </c>
      <c r="H17" s="10">
        <f t="shared" ref="H17:I17" si="64">F17</f>
        <v>0.2708333333</v>
      </c>
      <c r="I17" s="11">
        <f t="shared" si="64"/>
        <v>503</v>
      </c>
      <c r="J17" s="12">
        <v>0.2708333333333333</v>
      </c>
      <c r="K17" s="13">
        <v>480.92</v>
      </c>
      <c r="L17" s="14">
        <f t="shared" si="39"/>
        <v>0.2708333333</v>
      </c>
      <c r="M17" s="15">
        <f t="shared" si="42"/>
        <v>480.92</v>
      </c>
      <c r="N17" s="12">
        <v>0.2916666666666667</v>
      </c>
      <c r="O17" s="13">
        <v>502.56</v>
      </c>
      <c r="P17" s="14">
        <f t="shared" ref="P17:Q17" si="65">N17</f>
        <v>0.2916666667</v>
      </c>
      <c r="Q17" s="15">
        <f t="shared" si="65"/>
        <v>502.56</v>
      </c>
      <c r="R17" s="12">
        <v>0.3368055555555556</v>
      </c>
      <c r="S17" s="13">
        <v>471.15</v>
      </c>
      <c r="T17" s="25">
        <f t="shared" si="37"/>
        <v>0.3368055556</v>
      </c>
      <c r="U17" s="9">
        <f t="shared" si="59"/>
        <v>471.15</v>
      </c>
      <c r="V17" s="26">
        <v>0.4444444444444444</v>
      </c>
      <c r="W17" s="13">
        <v>488.89</v>
      </c>
      <c r="X17" s="9">
        <f t="shared" si="7"/>
        <v>21.99</v>
      </c>
      <c r="Y17" s="9">
        <f t="shared" si="8"/>
        <v>-22.08</v>
      </c>
      <c r="Z17" s="15">
        <f t="shared" si="54"/>
        <v>21.64</v>
      </c>
      <c r="AA17" s="15">
        <f t="shared" si="10"/>
        <v>-31.41</v>
      </c>
      <c r="AB17" s="15">
        <f t="shared" si="11"/>
        <v>17.74</v>
      </c>
      <c r="AC17" s="9">
        <f t="shared" si="12"/>
        <v>21.99</v>
      </c>
      <c r="AD17" s="15">
        <f t="shared" si="13"/>
        <v>22.08</v>
      </c>
      <c r="AE17" s="15">
        <f t="shared" si="14"/>
        <v>21.64</v>
      </c>
      <c r="AF17" s="15">
        <f t="shared" si="15"/>
        <v>31.41</v>
      </c>
      <c r="AG17" s="15">
        <f t="shared" si="16"/>
        <v>17.74</v>
      </c>
      <c r="AH17" s="20">
        <f t="shared" si="66"/>
        <v>114.86</v>
      </c>
      <c r="AI17" s="20">
        <f t="shared" si="18"/>
        <v>7.88</v>
      </c>
      <c r="AJ17" s="21">
        <f t="shared" si="19"/>
        <v>0.06860525858</v>
      </c>
      <c r="AK17" s="15" t="str">
        <f t="shared" si="20"/>
        <v>CHOP</v>
      </c>
      <c r="AL17" s="15">
        <f t="shared" si="21"/>
        <v>5</v>
      </c>
      <c r="AM17" s="22">
        <f t="shared" si="22"/>
        <v>22.972</v>
      </c>
      <c r="AN17" s="9">
        <f t="shared" si="23"/>
        <v>31.41</v>
      </c>
      <c r="AO17" s="23" t="str">
        <f t="shared" si="24"/>
        <v>Move5</v>
      </c>
      <c r="AP17" s="9" t="str">
        <f t="shared" si="25"/>
        <v>MEAN REVERSION DAY</v>
      </c>
      <c r="AQ17" s="9" t="str">
        <f t="shared" si="26"/>
        <v>AFTER 7:15 AM</v>
      </c>
      <c r="AR17" s="9"/>
      <c r="AS17" s="24"/>
    </row>
    <row r="18">
      <c r="A18" s="8">
        <f t="shared" si="31"/>
        <v>46050</v>
      </c>
      <c r="C18" s="9">
        <f>IFERROR(__xludf.DUMMYFUNCTION("INDEX(GOOGLEFINANCE(""NASDAQ:SNDK"",""open"",A18,A18),2,2)"),500.1)</f>
        <v>500.1</v>
      </c>
      <c r="D18" s="10">
        <v>0.2708333333333333</v>
      </c>
      <c r="E18" s="13">
        <v>500.1</v>
      </c>
      <c r="F18" s="12">
        <v>0.2777777777777778</v>
      </c>
      <c r="G18" s="13">
        <v>529.98</v>
      </c>
      <c r="H18" s="10">
        <f t="shared" ref="H18:I18" si="67">F18</f>
        <v>0.2777777778</v>
      </c>
      <c r="I18" s="11">
        <f t="shared" si="67"/>
        <v>529.98</v>
      </c>
      <c r="J18" s="12">
        <v>0.2986111111111111</v>
      </c>
      <c r="K18" s="13">
        <v>501.94</v>
      </c>
      <c r="L18" s="14">
        <f t="shared" si="39"/>
        <v>0.2986111111</v>
      </c>
      <c r="M18" s="15">
        <f t="shared" si="42"/>
        <v>501.94</v>
      </c>
      <c r="N18" s="12">
        <v>0.34375</v>
      </c>
      <c r="O18" s="13">
        <v>522.2</v>
      </c>
      <c r="P18" s="31">
        <v>0.3819444444444444</v>
      </c>
      <c r="Q18" s="13">
        <v>514.4</v>
      </c>
      <c r="R18" s="12">
        <v>0.5277777777777778</v>
      </c>
      <c r="S18" s="13">
        <v>531.46</v>
      </c>
      <c r="T18" s="16"/>
      <c r="V18" s="17"/>
      <c r="X18" s="9">
        <f t="shared" si="7"/>
        <v>29.88</v>
      </c>
      <c r="Y18" s="9">
        <f t="shared" si="8"/>
        <v>-28.04</v>
      </c>
      <c r="Z18" s="15">
        <f t="shared" si="54"/>
        <v>20.26</v>
      </c>
      <c r="AA18" s="15">
        <f t="shared" si="10"/>
        <v>17.06</v>
      </c>
      <c r="AB18" s="15" t="str">
        <f t="shared" si="11"/>
        <v/>
      </c>
      <c r="AC18" s="9">
        <f t="shared" si="12"/>
        <v>29.88</v>
      </c>
      <c r="AD18" s="15">
        <f t="shared" si="13"/>
        <v>28.04</v>
      </c>
      <c r="AE18" s="15">
        <f t="shared" si="14"/>
        <v>20.26</v>
      </c>
      <c r="AF18" s="15">
        <f t="shared" si="15"/>
        <v>17.06</v>
      </c>
      <c r="AG18" s="15" t="str">
        <f t="shared" si="16"/>
        <v/>
      </c>
      <c r="AH18" s="20">
        <f t="shared" si="66"/>
        <v>95.24</v>
      </c>
      <c r="AI18" s="20">
        <f t="shared" si="18"/>
        <v>31.36</v>
      </c>
      <c r="AJ18" s="21">
        <f t="shared" si="19"/>
        <v>0.3292734145</v>
      </c>
      <c r="AK18" s="15" t="str">
        <f t="shared" si="20"/>
        <v>MIXED</v>
      </c>
      <c r="AL18" s="15">
        <f t="shared" si="21"/>
        <v>4</v>
      </c>
      <c r="AM18" s="22">
        <f t="shared" si="22"/>
        <v>23.81</v>
      </c>
      <c r="AN18" s="9">
        <f t="shared" si="23"/>
        <v>29.88</v>
      </c>
      <c r="AO18" s="23" t="str">
        <f t="shared" si="24"/>
        <v>Move1</v>
      </c>
      <c r="AP18" s="9" t="str">
        <f t="shared" si="25"/>
        <v>OBSERVE / LIGHT</v>
      </c>
      <c r="AQ18" s="9" t="str">
        <f t="shared" si="26"/>
        <v>WAIT FOR EXTREMES</v>
      </c>
    </row>
    <row r="19">
      <c r="A19" s="32">
        <v>46051.0</v>
      </c>
      <c r="C19" s="9">
        <f>IFERROR(__xludf.DUMMYFUNCTION("INDEX(GOOGLEFINANCE(""NASDAQ:SNDK"",""open"",A19,A19),2,2)"),535.85)</f>
        <v>535.85</v>
      </c>
      <c r="D19" s="31">
        <v>0.2708333333333333</v>
      </c>
      <c r="E19" s="13">
        <v>522.12</v>
      </c>
      <c r="F19" s="12">
        <v>0.2743055555555556</v>
      </c>
      <c r="G19" s="13">
        <v>542.0</v>
      </c>
      <c r="H19" s="31">
        <v>0.2777777777777778</v>
      </c>
      <c r="I19" s="11">
        <f>G19</f>
        <v>542</v>
      </c>
      <c r="J19" s="12">
        <v>0.3055555555555556</v>
      </c>
      <c r="K19" s="13">
        <v>522.0</v>
      </c>
      <c r="L19" s="31">
        <v>0.3090277777777778</v>
      </c>
      <c r="M19" s="13">
        <v>534.85</v>
      </c>
      <c r="N19" s="12">
        <v>0.3368055555555556</v>
      </c>
      <c r="O19" s="13">
        <v>507.24</v>
      </c>
      <c r="P19" s="14">
        <f t="shared" ref="P19:Q19" si="68">N19</f>
        <v>0.3368055556</v>
      </c>
      <c r="Q19" s="15">
        <f t="shared" si="68"/>
        <v>507.24</v>
      </c>
      <c r="R19" s="17"/>
      <c r="T19" s="16"/>
      <c r="V19" s="17"/>
      <c r="X19" s="9">
        <f t="shared" si="7"/>
        <v>19.88</v>
      </c>
      <c r="Y19" s="9">
        <f t="shared" si="8"/>
        <v>-20</v>
      </c>
      <c r="Z19" s="15">
        <f t="shared" si="54"/>
        <v>-27.61</v>
      </c>
      <c r="AA19" s="15" t="str">
        <f t="shared" si="10"/>
        <v/>
      </c>
      <c r="AB19" s="15" t="str">
        <f t="shared" si="11"/>
        <v/>
      </c>
      <c r="AC19" s="9">
        <f t="shared" si="12"/>
        <v>19.88</v>
      </c>
      <c r="AD19" s="15">
        <f t="shared" si="13"/>
        <v>20</v>
      </c>
      <c r="AE19" s="15">
        <f t="shared" si="14"/>
        <v>27.61</v>
      </c>
      <c r="AF19" s="15" t="str">
        <f t="shared" si="15"/>
        <v/>
      </c>
      <c r="AG19" s="15" t="str">
        <f t="shared" si="16"/>
        <v/>
      </c>
      <c r="AH19" s="20">
        <f t="shared" si="66"/>
        <v>67.49</v>
      </c>
      <c r="AI19" s="20">
        <f t="shared" si="18"/>
        <v>-28.61</v>
      </c>
      <c r="AJ19" s="21">
        <f t="shared" si="19"/>
        <v>0.423914654</v>
      </c>
      <c r="AK19" s="15" t="str">
        <f t="shared" si="20"/>
        <v>TREND</v>
      </c>
      <c r="AL19" s="15">
        <f t="shared" si="21"/>
        <v>3</v>
      </c>
      <c r="AM19" s="22">
        <f t="shared" si="22"/>
        <v>22.49666667</v>
      </c>
      <c r="AN19" s="9">
        <f t="shared" si="23"/>
        <v>27.61</v>
      </c>
      <c r="AO19" s="23" t="str">
        <f t="shared" si="24"/>
        <v/>
      </c>
      <c r="AP19" s="9" t="str">
        <f t="shared" si="25"/>
        <v>OBSERVE / LIGHT</v>
      </c>
      <c r="AQ19" s="9" t="str">
        <f t="shared" si="26"/>
        <v>6:30–7:15 AM</v>
      </c>
    </row>
    <row r="20">
      <c r="A20" s="32">
        <v>46052.0</v>
      </c>
      <c r="C20" s="11">
        <v>651.34</v>
      </c>
      <c r="D20" s="31">
        <v>0.2708333333333333</v>
      </c>
      <c r="E20" s="13">
        <v>656.0</v>
      </c>
      <c r="F20" s="12">
        <v>0.5173611111111112</v>
      </c>
      <c r="G20" s="13">
        <v>533.0</v>
      </c>
      <c r="H20" s="14">
        <f t="shared" ref="H20:I20" si="69">F20</f>
        <v>0.5173611111</v>
      </c>
      <c r="I20" s="11">
        <f t="shared" si="69"/>
        <v>533</v>
      </c>
      <c r="J20" s="12">
        <v>0.5381944444444444</v>
      </c>
      <c r="K20" s="13">
        <v>576.01</v>
      </c>
      <c r="L20" s="16"/>
      <c r="N20" s="17"/>
      <c r="P20" s="16"/>
      <c r="Q20" s="15" t="str">
        <f t="shared" ref="Q20:Q21" si="70">O20</f>
        <v/>
      </c>
      <c r="R20" s="17"/>
      <c r="T20" s="16"/>
      <c r="V20" s="17"/>
      <c r="X20" s="9">
        <f t="shared" si="7"/>
        <v>-123</v>
      </c>
      <c r="Y20" s="9">
        <f t="shared" si="8"/>
        <v>43.01</v>
      </c>
      <c r="Z20" s="15" t="str">
        <f t="shared" si="54"/>
        <v/>
      </c>
      <c r="AA20" s="15" t="str">
        <f t="shared" si="10"/>
        <v/>
      </c>
      <c r="AB20" s="15" t="str">
        <f t="shared" si="11"/>
        <v/>
      </c>
      <c r="AC20" s="9">
        <f t="shared" si="12"/>
        <v>123</v>
      </c>
      <c r="AD20" s="15">
        <f t="shared" si="13"/>
        <v>43.01</v>
      </c>
      <c r="AE20" s="15" t="str">
        <f t="shared" si="14"/>
        <v/>
      </c>
      <c r="AF20" s="15" t="str">
        <f t="shared" si="15"/>
        <v/>
      </c>
      <c r="AG20" s="15" t="str">
        <f t="shared" si="16"/>
        <v/>
      </c>
      <c r="AH20" s="20">
        <f t="shared" si="66"/>
        <v>166.01</v>
      </c>
      <c r="AI20" s="20">
        <f t="shared" si="18"/>
        <v>-75.33</v>
      </c>
      <c r="AJ20" s="21">
        <f t="shared" si="19"/>
        <v>0.4537678453</v>
      </c>
      <c r="AK20" s="15" t="str">
        <f t="shared" si="20"/>
        <v>TREND</v>
      </c>
      <c r="AL20" s="15">
        <f t="shared" si="21"/>
        <v>2</v>
      </c>
      <c r="AM20" s="22">
        <f t="shared" si="22"/>
        <v>83.005</v>
      </c>
      <c r="AN20" s="9">
        <f t="shared" si="23"/>
        <v>123</v>
      </c>
      <c r="AO20" s="23" t="str">
        <f t="shared" si="24"/>
        <v/>
      </c>
      <c r="AP20" s="9" t="str">
        <f t="shared" si="25"/>
        <v>TREND DAY</v>
      </c>
      <c r="AQ20" s="9" t="str">
        <f t="shared" si="26"/>
        <v>6:30–7:15 AM</v>
      </c>
    </row>
    <row r="21">
      <c r="A21" s="13"/>
      <c r="D21" s="16"/>
      <c r="F21" s="17"/>
      <c r="H21" s="16"/>
      <c r="J21" s="17"/>
      <c r="L21" s="16"/>
      <c r="N21" s="17"/>
      <c r="P21" s="16"/>
      <c r="Q21" s="15" t="str">
        <f t="shared" si="70"/>
        <v/>
      </c>
      <c r="R21" s="17"/>
      <c r="T21" s="16"/>
      <c r="V21" s="17"/>
      <c r="AH21" s="33">
        <f>SUM(AH2:AH20)</f>
        <v>1224.68</v>
      </c>
      <c r="AM21" s="22"/>
      <c r="AO21" s="34"/>
    </row>
    <row r="22">
      <c r="A22" s="13"/>
      <c r="D22" s="16"/>
      <c r="F22" s="17"/>
      <c r="H22" s="16"/>
      <c r="J22" s="17"/>
      <c r="L22" s="16"/>
      <c r="N22" s="17"/>
      <c r="P22" s="16"/>
      <c r="R22" s="17"/>
      <c r="T22" s="16"/>
      <c r="V22" s="17"/>
      <c r="Y22" s="35" t="s">
        <v>43</v>
      </c>
      <c r="AE22" s="20"/>
      <c r="AF22" s="20"/>
      <c r="AG22" s="36"/>
      <c r="AM22" s="22"/>
      <c r="AO22" s="34"/>
    </row>
    <row r="23">
      <c r="A23" s="13"/>
      <c r="D23" s="16"/>
      <c r="F23" s="17"/>
      <c r="H23" s="16"/>
      <c r="J23" s="17"/>
      <c r="L23" s="16"/>
      <c r="N23" s="17"/>
      <c r="P23" s="16"/>
      <c r="R23" s="17"/>
      <c r="T23" s="16"/>
      <c r="V23" s="17"/>
      <c r="Y23" s="37"/>
      <c r="AE23" s="20"/>
      <c r="AF23" s="20"/>
      <c r="AG23" s="36"/>
      <c r="AM23" s="22"/>
      <c r="AO23" s="34"/>
    </row>
    <row r="24">
      <c r="A24" s="13"/>
      <c r="D24" s="16"/>
      <c r="F24" s="17"/>
      <c r="H24" s="16"/>
      <c r="J24" s="17"/>
      <c r="L24" s="16"/>
      <c r="N24" s="17"/>
      <c r="P24" s="16"/>
      <c r="R24" s="17"/>
      <c r="T24" s="16"/>
      <c r="V24" s="17"/>
      <c r="Y24" s="38" t="s">
        <v>44</v>
      </c>
      <c r="AE24" s="20"/>
      <c r="AF24" s="20"/>
      <c r="AG24" s="36"/>
      <c r="AM24" s="22"/>
      <c r="AO24" s="34"/>
    </row>
    <row r="25">
      <c r="A25" s="13"/>
      <c r="D25" s="16"/>
      <c r="F25" s="17"/>
      <c r="H25" s="16"/>
      <c r="J25" s="17"/>
      <c r="L25" s="16"/>
      <c r="N25" s="17"/>
      <c r="P25" s="16"/>
      <c r="R25" s="17"/>
      <c r="T25" s="16"/>
      <c r="V25" s="17"/>
      <c r="Y25" s="39"/>
      <c r="AE25" s="20"/>
      <c r="AF25" s="20"/>
      <c r="AG25" s="36"/>
      <c r="AI25" s="20"/>
      <c r="AM25" s="22"/>
      <c r="AO25" s="34"/>
    </row>
    <row r="26">
      <c r="A26" s="13"/>
      <c r="D26" s="16"/>
      <c r="F26" s="17"/>
      <c r="H26" s="16"/>
      <c r="J26" s="17"/>
      <c r="L26" s="16"/>
      <c r="N26" s="17"/>
      <c r="P26" s="16"/>
      <c r="R26" s="17"/>
      <c r="T26" s="16"/>
      <c r="V26" s="17"/>
      <c r="Y26" s="38" t="s">
        <v>45</v>
      </c>
      <c r="AE26" s="20"/>
      <c r="AF26" s="20"/>
      <c r="AG26" s="36"/>
      <c r="AI26" s="20"/>
      <c r="AM26" s="22"/>
      <c r="AO26" s="34"/>
    </row>
    <row r="27">
      <c r="A27" s="13"/>
      <c r="D27" s="16"/>
      <c r="F27" s="17"/>
      <c r="H27" s="16"/>
      <c r="J27" s="17"/>
      <c r="L27" s="16"/>
      <c r="N27" s="17"/>
      <c r="P27" s="16"/>
      <c r="R27" s="17"/>
      <c r="T27" s="16"/>
      <c r="V27" s="17"/>
      <c r="Y27" s="39"/>
      <c r="AE27" s="20"/>
      <c r="AF27" s="20"/>
      <c r="AG27" s="36"/>
      <c r="AI27" s="20"/>
      <c r="AM27" s="22"/>
      <c r="AO27" s="34"/>
    </row>
    <row r="28">
      <c r="A28" s="13"/>
      <c r="D28" s="16"/>
      <c r="F28" s="17"/>
      <c r="H28" s="16"/>
      <c r="J28" s="17"/>
      <c r="L28" s="16"/>
      <c r="N28" s="17"/>
      <c r="P28" s="16"/>
      <c r="R28" s="17"/>
      <c r="T28" s="16"/>
      <c r="V28" s="17"/>
      <c r="Y28" s="38" t="s">
        <v>46</v>
      </c>
      <c r="AE28" s="20"/>
      <c r="AF28" s="20"/>
      <c r="AG28" s="36"/>
      <c r="AI28" s="20"/>
      <c r="AM28" s="22"/>
      <c r="AO28" s="34"/>
    </row>
    <row r="29">
      <c r="A29" s="13"/>
      <c r="D29" s="16"/>
      <c r="F29" s="17"/>
      <c r="H29" s="16"/>
      <c r="J29" s="17"/>
      <c r="L29" s="16"/>
      <c r="N29" s="17"/>
      <c r="P29" s="16"/>
      <c r="R29" s="17"/>
      <c r="T29" s="16"/>
      <c r="V29" s="17"/>
      <c r="Y29" s="39"/>
      <c r="AE29" s="20"/>
      <c r="AF29" s="20"/>
      <c r="AG29" s="36"/>
      <c r="AI29" s="20"/>
      <c r="AM29" s="22"/>
      <c r="AO29" s="34"/>
    </row>
    <row r="30">
      <c r="A30" s="1"/>
      <c r="B30" s="37"/>
      <c r="D30" s="16"/>
      <c r="F30" s="17"/>
      <c r="H30" s="16"/>
      <c r="J30" s="17"/>
      <c r="L30" s="16"/>
      <c r="N30" s="17"/>
      <c r="P30" s="16"/>
      <c r="R30" s="17"/>
      <c r="T30" s="16"/>
      <c r="V30" s="17"/>
      <c r="Y30" s="38" t="s">
        <v>47</v>
      </c>
      <c r="AE30" s="20"/>
      <c r="AF30" s="20"/>
      <c r="AG30" s="36"/>
      <c r="AI30" s="20"/>
      <c r="AM30" s="22"/>
      <c r="AO30" s="34"/>
    </row>
    <row r="31">
      <c r="A31" s="1"/>
      <c r="D31" s="16"/>
      <c r="F31" s="17"/>
      <c r="H31" s="16"/>
      <c r="J31" s="17"/>
      <c r="L31" s="16"/>
      <c r="N31" s="17"/>
      <c r="P31" s="16"/>
      <c r="R31" s="17"/>
      <c r="T31" s="16"/>
      <c r="V31" s="17"/>
      <c r="Y31" s="39"/>
      <c r="AE31" s="20"/>
      <c r="AF31" s="20"/>
      <c r="AG31" s="36"/>
      <c r="AI31" s="20"/>
      <c r="AM31" s="22"/>
      <c r="AO31" s="34"/>
    </row>
    <row r="32">
      <c r="A32" s="1"/>
      <c r="D32" s="16"/>
      <c r="F32" s="17"/>
      <c r="H32" s="16"/>
      <c r="J32" s="17"/>
      <c r="L32" s="16"/>
      <c r="N32" s="17"/>
      <c r="P32" s="16"/>
      <c r="R32" s="17"/>
      <c r="T32" s="16"/>
      <c r="V32" s="17"/>
      <c r="Y32" s="38" t="s">
        <v>48</v>
      </c>
      <c r="AE32" s="20"/>
      <c r="AF32" s="20"/>
      <c r="AG32" s="36"/>
      <c r="AI32" s="20"/>
      <c r="AM32" s="22"/>
      <c r="AO32" s="34"/>
    </row>
    <row r="33">
      <c r="A33" s="1"/>
      <c r="D33" s="16"/>
      <c r="F33" s="17"/>
      <c r="H33" s="16"/>
      <c r="J33" s="17"/>
      <c r="L33" s="16"/>
      <c r="N33" s="17"/>
      <c r="P33" s="16"/>
      <c r="R33" s="17"/>
      <c r="T33" s="16"/>
      <c r="V33" s="17"/>
      <c r="AE33" s="20"/>
      <c r="AF33" s="20"/>
      <c r="AG33" s="36"/>
      <c r="AI33" s="20"/>
      <c r="AJ33" s="36"/>
      <c r="AM33" s="22"/>
      <c r="AO33" s="34"/>
    </row>
    <row r="34">
      <c r="D34" s="16"/>
      <c r="F34" s="17"/>
      <c r="H34" s="16"/>
      <c r="J34" s="17"/>
      <c r="L34" s="16"/>
      <c r="N34" s="17"/>
      <c r="P34" s="16"/>
      <c r="R34" s="17"/>
      <c r="T34" s="16"/>
      <c r="V34" s="17"/>
      <c r="AE34" s="20"/>
      <c r="AF34" s="20"/>
      <c r="AG34" s="36"/>
      <c r="AI34" s="20"/>
      <c r="AJ34" s="36"/>
      <c r="AM34" s="22"/>
      <c r="AO34" s="34"/>
    </row>
    <row r="35">
      <c r="D35" s="16"/>
      <c r="F35" s="17"/>
      <c r="H35" s="16"/>
      <c r="J35" s="17"/>
      <c r="L35" s="16"/>
      <c r="N35" s="17"/>
      <c r="P35" s="16"/>
      <c r="R35" s="17"/>
      <c r="T35" s="16"/>
      <c r="V35" s="17"/>
      <c r="AH35" s="20"/>
      <c r="AI35" s="20"/>
      <c r="AJ35" s="36"/>
      <c r="AM35" s="22"/>
      <c r="AO35" s="34"/>
    </row>
    <row r="36">
      <c r="D36" s="16"/>
      <c r="F36" s="17"/>
      <c r="H36" s="16"/>
      <c r="J36" s="17"/>
      <c r="L36" s="16"/>
      <c r="N36" s="17"/>
      <c r="P36" s="16"/>
      <c r="R36" s="17"/>
      <c r="T36" s="16"/>
      <c r="V36" s="17"/>
      <c r="AJ36" s="36"/>
      <c r="AM36" s="22"/>
      <c r="AO36" s="34"/>
    </row>
    <row r="37">
      <c r="D37" s="16"/>
      <c r="F37" s="17"/>
      <c r="H37" s="16"/>
      <c r="J37" s="17"/>
      <c r="L37" s="16"/>
      <c r="N37" s="17"/>
      <c r="P37" s="16"/>
      <c r="R37" s="17"/>
      <c r="T37" s="16"/>
      <c r="V37" s="17"/>
      <c r="AJ37" s="36"/>
      <c r="AM37" s="22"/>
      <c r="AO37" s="34"/>
    </row>
    <row r="38">
      <c r="D38" s="16"/>
      <c r="F38" s="17"/>
      <c r="H38" s="16"/>
      <c r="J38" s="17"/>
      <c r="L38" s="16"/>
      <c r="N38" s="17"/>
      <c r="P38" s="16"/>
      <c r="R38" s="17"/>
      <c r="T38" s="16"/>
      <c r="V38" s="17"/>
      <c r="AJ38" s="36"/>
      <c r="AM38" s="22"/>
      <c r="AO38" s="34"/>
    </row>
    <row r="39">
      <c r="D39" s="16"/>
      <c r="F39" s="17"/>
      <c r="H39" s="16"/>
      <c r="J39" s="17"/>
      <c r="L39" s="16"/>
      <c r="N39" s="17"/>
      <c r="P39" s="16"/>
      <c r="R39" s="17"/>
      <c r="T39" s="16"/>
      <c r="V39" s="17"/>
      <c r="AJ39" s="36"/>
      <c r="AM39" s="22"/>
      <c r="AO39" s="34"/>
    </row>
    <row r="40">
      <c r="D40" s="16"/>
      <c r="F40" s="17"/>
      <c r="H40" s="16"/>
      <c r="J40" s="17"/>
      <c r="L40" s="16"/>
      <c r="N40" s="17"/>
      <c r="P40" s="16"/>
      <c r="R40" s="17"/>
      <c r="T40" s="16"/>
      <c r="V40" s="17"/>
      <c r="AJ40" s="36"/>
      <c r="AM40" s="22"/>
      <c r="AO40" s="34"/>
    </row>
    <row r="41">
      <c r="D41" s="16"/>
      <c r="F41" s="17"/>
      <c r="H41" s="16"/>
      <c r="J41" s="17"/>
      <c r="L41" s="16"/>
      <c r="N41" s="17"/>
      <c r="P41" s="16"/>
      <c r="R41" s="17"/>
      <c r="T41" s="16"/>
      <c r="V41" s="17"/>
      <c r="AJ41" s="36"/>
      <c r="AM41" s="22"/>
      <c r="AO41" s="34"/>
    </row>
    <row r="42">
      <c r="D42" s="16"/>
      <c r="F42" s="17"/>
      <c r="H42" s="16"/>
      <c r="J42" s="17"/>
      <c r="L42" s="16"/>
      <c r="N42" s="17"/>
      <c r="P42" s="16"/>
      <c r="R42" s="17"/>
      <c r="T42" s="16"/>
      <c r="V42" s="17"/>
      <c r="AJ42" s="36"/>
      <c r="AM42" s="22"/>
      <c r="AO42" s="34"/>
    </row>
    <row r="43">
      <c r="D43" s="16"/>
      <c r="F43" s="17"/>
      <c r="H43" s="16"/>
      <c r="J43" s="17"/>
      <c r="L43" s="16"/>
      <c r="N43" s="17"/>
      <c r="P43" s="16"/>
      <c r="R43" s="17"/>
      <c r="T43" s="16"/>
      <c r="V43" s="17"/>
      <c r="AJ43" s="36"/>
      <c r="AM43" s="22"/>
      <c r="AO43" s="34"/>
    </row>
    <row r="44">
      <c r="D44" s="16"/>
      <c r="F44" s="17"/>
      <c r="H44" s="16"/>
      <c r="J44" s="17"/>
      <c r="L44" s="16"/>
      <c r="N44" s="17"/>
      <c r="P44" s="16"/>
      <c r="R44" s="17"/>
      <c r="T44" s="16"/>
      <c r="V44" s="17"/>
      <c r="AH44" s="20"/>
      <c r="AI44" s="20"/>
      <c r="AJ44" s="36"/>
      <c r="AM44" s="22"/>
      <c r="AO44" s="34"/>
    </row>
    <row r="45">
      <c r="D45" s="16"/>
      <c r="F45" s="17"/>
      <c r="H45" s="16"/>
      <c r="J45" s="17"/>
      <c r="L45" s="16"/>
      <c r="N45" s="17"/>
      <c r="P45" s="16"/>
      <c r="R45" s="17"/>
      <c r="T45" s="16"/>
      <c r="V45" s="17"/>
      <c r="AH45" s="20"/>
      <c r="AI45" s="20"/>
      <c r="AJ45" s="36"/>
      <c r="AM45" s="22"/>
      <c r="AO45" s="34"/>
    </row>
    <row r="46">
      <c r="D46" s="16"/>
      <c r="F46" s="17"/>
      <c r="H46" s="16"/>
      <c r="J46" s="17"/>
      <c r="L46" s="16"/>
      <c r="N46" s="17"/>
      <c r="P46" s="16"/>
      <c r="R46" s="17"/>
      <c r="T46" s="16"/>
      <c r="V46" s="17"/>
      <c r="AH46" s="20"/>
      <c r="AI46" s="20"/>
      <c r="AJ46" s="36"/>
      <c r="AM46" s="22"/>
      <c r="AO46" s="34"/>
    </row>
    <row r="47">
      <c r="D47" s="16"/>
      <c r="F47" s="17"/>
      <c r="H47" s="16"/>
      <c r="J47" s="17"/>
      <c r="L47" s="16"/>
      <c r="N47" s="17"/>
      <c r="P47" s="16"/>
      <c r="R47" s="17"/>
      <c r="T47" s="16"/>
      <c r="V47" s="17"/>
      <c r="AH47" s="20"/>
      <c r="AI47" s="20"/>
      <c r="AJ47" s="36"/>
      <c r="AM47" s="22"/>
      <c r="AO47" s="34"/>
    </row>
    <row r="48">
      <c r="D48" s="16"/>
      <c r="F48" s="17"/>
      <c r="H48" s="16"/>
      <c r="J48" s="17"/>
      <c r="L48" s="16"/>
      <c r="N48" s="17"/>
      <c r="P48" s="16"/>
      <c r="R48" s="17"/>
      <c r="T48" s="16"/>
      <c r="V48" s="17"/>
      <c r="AH48" s="20"/>
      <c r="AI48" s="20"/>
      <c r="AJ48" s="36"/>
      <c r="AM48" s="22"/>
      <c r="AO48" s="34"/>
    </row>
    <row r="49">
      <c r="D49" s="16"/>
      <c r="F49" s="17"/>
      <c r="H49" s="16"/>
      <c r="J49" s="17"/>
      <c r="L49" s="16"/>
      <c r="N49" s="17"/>
      <c r="P49" s="16"/>
      <c r="R49" s="17"/>
      <c r="T49" s="16"/>
      <c r="V49" s="17"/>
      <c r="AH49" s="20"/>
      <c r="AI49" s="20"/>
      <c r="AJ49" s="36"/>
      <c r="AM49" s="22"/>
      <c r="AO49" s="34"/>
    </row>
    <row r="50">
      <c r="D50" s="16"/>
      <c r="F50" s="17"/>
      <c r="H50" s="16"/>
      <c r="J50" s="17"/>
      <c r="L50" s="16"/>
      <c r="N50" s="17"/>
      <c r="P50" s="16"/>
      <c r="R50" s="17"/>
      <c r="T50" s="16"/>
      <c r="V50" s="17"/>
      <c r="AH50" s="20"/>
      <c r="AI50" s="20"/>
      <c r="AJ50" s="36"/>
      <c r="AM50" s="22"/>
      <c r="AO50" s="34"/>
    </row>
    <row r="51">
      <c r="D51" s="16"/>
      <c r="F51" s="17"/>
      <c r="H51" s="16"/>
      <c r="J51" s="17"/>
      <c r="L51" s="16"/>
      <c r="N51" s="17"/>
      <c r="P51" s="16"/>
      <c r="R51" s="17"/>
      <c r="T51" s="16"/>
      <c r="V51" s="17"/>
      <c r="AH51" s="20"/>
      <c r="AI51" s="20"/>
      <c r="AJ51" s="36"/>
      <c r="AM51" s="22"/>
      <c r="AO51" s="34"/>
    </row>
    <row r="52">
      <c r="D52" s="16"/>
      <c r="F52" s="17"/>
      <c r="H52" s="16"/>
      <c r="J52" s="17"/>
      <c r="L52" s="16"/>
      <c r="N52" s="17"/>
      <c r="P52" s="16"/>
      <c r="R52" s="17"/>
      <c r="T52" s="16"/>
      <c r="V52" s="17"/>
      <c r="AH52" s="20"/>
      <c r="AI52" s="20"/>
      <c r="AJ52" s="36"/>
      <c r="AM52" s="22"/>
      <c r="AO52" s="34"/>
    </row>
    <row r="53">
      <c r="D53" s="16"/>
      <c r="F53" s="17"/>
      <c r="H53" s="16"/>
      <c r="J53" s="17"/>
      <c r="L53" s="16"/>
      <c r="N53" s="17"/>
      <c r="P53" s="16"/>
      <c r="R53" s="17"/>
      <c r="T53" s="16"/>
      <c r="V53" s="17"/>
      <c r="AH53" s="20"/>
      <c r="AI53" s="20"/>
      <c r="AJ53" s="36"/>
      <c r="AM53" s="22"/>
      <c r="AO53" s="34"/>
    </row>
    <row r="54">
      <c r="D54" s="16"/>
      <c r="F54" s="17"/>
      <c r="H54" s="16"/>
      <c r="J54" s="17"/>
      <c r="L54" s="16"/>
      <c r="N54" s="17"/>
      <c r="P54" s="16"/>
      <c r="R54" s="17"/>
      <c r="T54" s="16"/>
      <c r="V54" s="17"/>
      <c r="AH54" s="20"/>
      <c r="AI54" s="20"/>
      <c r="AJ54" s="36"/>
      <c r="AM54" s="22"/>
      <c r="AO54" s="34"/>
    </row>
    <row r="55">
      <c r="D55" s="16"/>
      <c r="F55" s="17"/>
      <c r="H55" s="16"/>
      <c r="J55" s="17"/>
      <c r="L55" s="16"/>
      <c r="N55" s="17"/>
      <c r="P55" s="16"/>
      <c r="R55" s="17"/>
      <c r="T55" s="16"/>
      <c r="V55" s="17"/>
      <c r="AH55" s="20"/>
      <c r="AI55" s="20"/>
      <c r="AJ55" s="36"/>
      <c r="AM55" s="22"/>
      <c r="AO55" s="34"/>
    </row>
    <row r="56">
      <c r="D56" s="16"/>
      <c r="F56" s="17"/>
      <c r="H56" s="16"/>
      <c r="J56" s="17"/>
      <c r="L56" s="16"/>
      <c r="N56" s="17"/>
      <c r="P56" s="16"/>
      <c r="R56" s="17"/>
      <c r="T56" s="16"/>
      <c r="V56" s="17"/>
      <c r="AH56" s="20"/>
      <c r="AI56" s="20"/>
      <c r="AJ56" s="36"/>
      <c r="AM56" s="22"/>
      <c r="AO56" s="34"/>
    </row>
    <row r="57">
      <c r="D57" s="16"/>
      <c r="F57" s="17"/>
      <c r="H57" s="16"/>
      <c r="J57" s="17"/>
      <c r="L57" s="16"/>
      <c r="N57" s="17"/>
      <c r="P57" s="16"/>
      <c r="R57" s="17"/>
      <c r="T57" s="16"/>
      <c r="V57" s="17"/>
      <c r="AH57" s="20"/>
      <c r="AI57" s="20"/>
      <c r="AJ57" s="36"/>
      <c r="AM57" s="22"/>
      <c r="AO57" s="34"/>
    </row>
    <row r="58">
      <c r="D58" s="16"/>
      <c r="F58" s="17"/>
      <c r="H58" s="16"/>
      <c r="J58" s="17"/>
      <c r="L58" s="16"/>
      <c r="N58" s="17"/>
      <c r="P58" s="16"/>
      <c r="R58" s="17"/>
      <c r="T58" s="16"/>
      <c r="V58" s="17"/>
      <c r="AH58" s="20"/>
      <c r="AI58" s="20"/>
      <c r="AJ58" s="36"/>
      <c r="AM58" s="22"/>
      <c r="AO58" s="34"/>
    </row>
    <row r="59">
      <c r="D59" s="16"/>
      <c r="F59" s="17"/>
      <c r="H59" s="16"/>
      <c r="J59" s="17"/>
      <c r="L59" s="16"/>
      <c r="N59" s="17"/>
      <c r="P59" s="16"/>
      <c r="R59" s="17"/>
      <c r="T59" s="16"/>
      <c r="V59" s="17"/>
      <c r="AH59" s="20"/>
      <c r="AI59" s="20"/>
      <c r="AJ59" s="36"/>
      <c r="AM59" s="22"/>
      <c r="AO59" s="34"/>
    </row>
    <row r="60">
      <c r="D60" s="16"/>
      <c r="F60" s="17"/>
      <c r="H60" s="16"/>
      <c r="J60" s="17"/>
      <c r="L60" s="16"/>
      <c r="N60" s="17"/>
      <c r="P60" s="16"/>
      <c r="R60" s="17"/>
      <c r="T60" s="16"/>
      <c r="V60" s="17"/>
      <c r="AH60" s="20"/>
      <c r="AI60" s="20"/>
      <c r="AJ60" s="36"/>
      <c r="AM60" s="22"/>
      <c r="AO60" s="34"/>
    </row>
    <row r="61">
      <c r="D61" s="16"/>
      <c r="F61" s="17"/>
      <c r="H61" s="16"/>
      <c r="J61" s="17"/>
      <c r="L61" s="16"/>
      <c r="N61" s="17"/>
      <c r="P61" s="16"/>
      <c r="R61" s="17"/>
      <c r="T61" s="16"/>
      <c r="V61" s="17"/>
      <c r="AH61" s="20"/>
      <c r="AI61" s="20"/>
      <c r="AJ61" s="36"/>
      <c r="AM61" s="22"/>
      <c r="AO61" s="34"/>
    </row>
    <row r="62">
      <c r="D62" s="16"/>
      <c r="F62" s="17"/>
      <c r="H62" s="16"/>
      <c r="J62" s="17"/>
      <c r="L62" s="16"/>
      <c r="N62" s="17"/>
      <c r="P62" s="16"/>
      <c r="R62" s="17"/>
      <c r="T62" s="16"/>
      <c r="V62" s="17"/>
      <c r="AH62" s="20"/>
      <c r="AI62" s="20"/>
      <c r="AJ62" s="36"/>
      <c r="AM62" s="22"/>
      <c r="AO62" s="34"/>
    </row>
    <row r="63">
      <c r="D63" s="16"/>
      <c r="F63" s="17"/>
      <c r="H63" s="16"/>
      <c r="J63" s="17"/>
      <c r="L63" s="16"/>
      <c r="N63" s="17"/>
      <c r="P63" s="16"/>
      <c r="R63" s="17"/>
      <c r="T63" s="16"/>
      <c r="V63" s="17"/>
      <c r="AH63" s="20"/>
      <c r="AI63" s="20"/>
      <c r="AJ63" s="36"/>
      <c r="AM63" s="22"/>
      <c r="AO63" s="34"/>
    </row>
    <row r="64">
      <c r="D64" s="16"/>
      <c r="F64" s="17"/>
      <c r="H64" s="16"/>
      <c r="J64" s="17"/>
      <c r="L64" s="16"/>
      <c r="N64" s="17"/>
      <c r="P64" s="16"/>
      <c r="R64" s="17"/>
      <c r="T64" s="16"/>
      <c r="V64" s="17"/>
      <c r="AH64" s="20"/>
      <c r="AI64" s="20"/>
      <c r="AJ64" s="36"/>
      <c r="AM64" s="22"/>
      <c r="AO64" s="34"/>
    </row>
    <row r="65">
      <c r="D65" s="16"/>
      <c r="F65" s="17"/>
      <c r="H65" s="16"/>
      <c r="J65" s="17"/>
      <c r="L65" s="16"/>
      <c r="N65" s="17"/>
      <c r="P65" s="16"/>
      <c r="R65" s="17"/>
      <c r="T65" s="16"/>
      <c r="V65" s="17"/>
      <c r="AH65" s="20"/>
      <c r="AI65" s="20"/>
      <c r="AJ65" s="36"/>
      <c r="AM65" s="22"/>
      <c r="AO65" s="34"/>
    </row>
    <row r="66">
      <c r="D66" s="16"/>
      <c r="F66" s="17"/>
      <c r="H66" s="16"/>
      <c r="J66" s="17"/>
      <c r="L66" s="16"/>
      <c r="N66" s="17"/>
      <c r="P66" s="16"/>
      <c r="R66" s="17"/>
      <c r="T66" s="16"/>
      <c r="V66" s="17"/>
      <c r="AH66" s="20"/>
      <c r="AI66" s="20"/>
      <c r="AJ66" s="36"/>
      <c r="AM66" s="22"/>
      <c r="AO66" s="34"/>
    </row>
    <row r="67">
      <c r="D67" s="16"/>
      <c r="F67" s="17"/>
      <c r="H67" s="16"/>
      <c r="J67" s="17"/>
      <c r="L67" s="16"/>
      <c r="N67" s="17"/>
      <c r="P67" s="16"/>
      <c r="R67" s="17"/>
      <c r="T67" s="16"/>
      <c r="V67" s="17"/>
      <c r="AH67" s="20"/>
      <c r="AI67" s="20"/>
      <c r="AJ67" s="36"/>
      <c r="AM67" s="22"/>
      <c r="AO67" s="34"/>
    </row>
    <row r="68">
      <c r="D68" s="16"/>
      <c r="F68" s="17"/>
      <c r="H68" s="16"/>
      <c r="J68" s="17"/>
      <c r="L68" s="16"/>
      <c r="N68" s="17"/>
      <c r="P68" s="16"/>
      <c r="R68" s="17"/>
      <c r="T68" s="16"/>
      <c r="V68" s="17"/>
      <c r="AH68" s="20"/>
      <c r="AI68" s="20"/>
      <c r="AJ68" s="36"/>
      <c r="AM68" s="22"/>
      <c r="AO68" s="34"/>
    </row>
    <row r="69">
      <c r="D69" s="16"/>
      <c r="F69" s="17"/>
      <c r="H69" s="16"/>
      <c r="J69" s="17"/>
      <c r="L69" s="16"/>
      <c r="N69" s="17"/>
      <c r="P69" s="16"/>
      <c r="R69" s="17"/>
      <c r="T69" s="16"/>
      <c r="V69" s="17"/>
      <c r="AH69" s="20"/>
      <c r="AI69" s="20"/>
      <c r="AJ69" s="36"/>
      <c r="AM69" s="22"/>
      <c r="AO69" s="34"/>
    </row>
    <row r="70">
      <c r="D70" s="16"/>
      <c r="F70" s="17"/>
      <c r="H70" s="16"/>
      <c r="J70" s="17"/>
      <c r="L70" s="16"/>
      <c r="N70" s="17"/>
      <c r="P70" s="16"/>
      <c r="R70" s="17"/>
      <c r="T70" s="16"/>
      <c r="V70" s="17"/>
      <c r="AH70" s="20"/>
      <c r="AI70" s="20"/>
      <c r="AJ70" s="36"/>
      <c r="AM70" s="22"/>
      <c r="AO70" s="34"/>
    </row>
    <row r="71">
      <c r="D71" s="16"/>
      <c r="F71" s="17"/>
      <c r="H71" s="16"/>
      <c r="J71" s="17"/>
      <c r="L71" s="16"/>
      <c r="N71" s="17"/>
      <c r="P71" s="16"/>
      <c r="R71" s="17"/>
      <c r="T71" s="16"/>
      <c r="V71" s="17"/>
      <c r="AH71" s="20"/>
      <c r="AI71" s="20"/>
      <c r="AJ71" s="36"/>
      <c r="AM71" s="22"/>
      <c r="AO71" s="34"/>
    </row>
    <row r="72">
      <c r="D72" s="16"/>
      <c r="F72" s="17"/>
      <c r="H72" s="16"/>
      <c r="J72" s="17"/>
      <c r="L72" s="16"/>
      <c r="N72" s="17"/>
      <c r="P72" s="16"/>
      <c r="R72" s="17"/>
      <c r="T72" s="16"/>
      <c r="V72" s="17"/>
      <c r="AH72" s="20"/>
      <c r="AI72" s="20"/>
      <c r="AJ72" s="36"/>
      <c r="AM72" s="22"/>
      <c r="AO72" s="34"/>
    </row>
    <row r="73">
      <c r="D73" s="16"/>
      <c r="F73" s="17"/>
      <c r="H73" s="16"/>
      <c r="J73" s="17"/>
      <c r="L73" s="16"/>
      <c r="N73" s="17"/>
      <c r="P73" s="16"/>
      <c r="R73" s="17"/>
      <c r="T73" s="16"/>
      <c r="V73" s="17"/>
      <c r="AH73" s="20"/>
      <c r="AI73" s="20"/>
      <c r="AJ73" s="36"/>
      <c r="AM73" s="22"/>
      <c r="AO73" s="34"/>
    </row>
    <row r="74">
      <c r="D74" s="16"/>
      <c r="F74" s="17"/>
      <c r="H74" s="16"/>
      <c r="J74" s="17"/>
      <c r="L74" s="16"/>
      <c r="N74" s="17"/>
      <c r="P74" s="16"/>
      <c r="R74" s="17"/>
      <c r="T74" s="16"/>
      <c r="V74" s="17"/>
      <c r="AH74" s="20"/>
      <c r="AI74" s="20"/>
      <c r="AJ74" s="36"/>
      <c r="AM74" s="22"/>
      <c r="AO74" s="34"/>
    </row>
    <row r="75">
      <c r="D75" s="16"/>
      <c r="F75" s="17"/>
      <c r="H75" s="16"/>
      <c r="J75" s="17"/>
      <c r="L75" s="16"/>
      <c r="N75" s="17"/>
      <c r="P75" s="16"/>
      <c r="R75" s="17"/>
      <c r="T75" s="16"/>
      <c r="V75" s="17"/>
      <c r="AH75" s="20"/>
      <c r="AI75" s="20"/>
      <c r="AJ75" s="36"/>
      <c r="AM75" s="22"/>
      <c r="AO75" s="34"/>
    </row>
    <row r="76">
      <c r="D76" s="16"/>
      <c r="F76" s="17"/>
      <c r="H76" s="16"/>
      <c r="J76" s="17"/>
      <c r="L76" s="16"/>
      <c r="N76" s="17"/>
      <c r="P76" s="16"/>
      <c r="R76" s="17"/>
      <c r="T76" s="16"/>
      <c r="V76" s="17"/>
      <c r="AH76" s="20"/>
      <c r="AI76" s="20"/>
      <c r="AJ76" s="36"/>
      <c r="AM76" s="22"/>
      <c r="AO76" s="34"/>
    </row>
    <row r="77">
      <c r="D77" s="16"/>
      <c r="F77" s="17"/>
      <c r="H77" s="16"/>
      <c r="J77" s="17"/>
      <c r="L77" s="16"/>
      <c r="N77" s="17"/>
      <c r="P77" s="16"/>
      <c r="R77" s="17"/>
      <c r="T77" s="16"/>
      <c r="V77" s="17"/>
      <c r="AH77" s="20"/>
      <c r="AI77" s="20"/>
      <c r="AJ77" s="36"/>
      <c r="AM77" s="22"/>
      <c r="AO77" s="34"/>
    </row>
    <row r="78">
      <c r="D78" s="16"/>
      <c r="F78" s="17"/>
      <c r="H78" s="16"/>
      <c r="J78" s="17"/>
      <c r="L78" s="16"/>
      <c r="N78" s="17"/>
      <c r="P78" s="16"/>
      <c r="R78" s="17"/>
      <c r="T78" s="16"/>
      <c r="V78" s="17"/>
      <c r="AH78" s="20"/>
      <c r="AI78" s="20"/>
      <c r="AJ78" s="36"/>
      <c r="AM78" s="22"/>
      <c r="AO78" s="34"/>
    </row>
    <row r="79">
      <c r="D79" s="16"/>
      <c r="F79" s="17"/>
      <c r="H79" s="16"/>
      <c r="J79" s="17"/>
      <c r="L79" s="16"/>
      <c r="N79" s="17"/>
      <c r="P79" s="16"/>
      <c r="R79" s="17"/>
      <c r="T79" s="16"/>
      <c r="V79" s="17"/>
      <c r="AH79" s="20"/>
      <c r="AI79" s="20"/>
      <c r="AJ79" s="36"/>
      <c r="AM79" s="22"/>
      <c r="AO79" s="34"/>
    </row>
    <row r="80">
      <c r="D80" s="16"/>
      <c r="F80" s="17"/>
      <c r="H80" s="16"/>
      <c r="J80" s="17"/>
      <c r="L80" s="16"/>
      <c r="N80" s="17"/>
      <c r="P80" s="16"/>
      <c r="R80" s="17"/>
      <c r="T80" s="16"/>
      <c r="V80" s="17"/>
      <c r="AH80" s="20"/>
      <c r="AI80" s="20"/>
      <c r="AJ80" s="36"/>
      <c r="AM80" s="22"/>
      <c r="AO80" s="34"/>
    </row>
    <row r="81">
      <c r="D81" s="16"/>
      <c r="F81" s="17"/>
      <c r="H81" s="16"/>
      <c r="J81" s="17"/>
      <c r="L81" s="16"/>
      <c r="N81" s="17"/>
      <c r="P81" s="16"/>
      <c r="R81" s="17"/>
      <c r="T81" s="16"/>
      <c r="V81" s="17"/>
      <c r="AH81" s="20"/>
      <c r="AI81" s="20"/>
      <c r="AJ81" s="36"/>
      <c r="AM81" s="22"/>
      <c r="AO81" s="34"/>
    </row>
    <row r="82">
      <c r="D82" s="16"/>
      <c r="F82" s="17"/>
      <c r="H82" s="16"/>
      <c r="J82" s="17"/>
      <c r="L82" s="16"/>
      <c r="N82" s="17"/>
      <c r="P82" s="16"/>
      <c r="R82" s="17"/>
      <c r="T82" s="16"/>
      <c r="V82" s="17"/>
      <c r="AH82" s="20"/>
      <c r="AI82" s="20"/>
      <c r="AJ82" s="36"/>
      <c r="AM82" s="22"/>
      <c r="AO82" s="34"/>
    </row>
    <row r="83">
      <c r="D83" s="16"/>
      <c r="F83" s="17"/>
      <c r="H83" s="16"/>
      <c r="J83" s="17"/>
      <c r="L83" s="16"/>
      <c r="N83" s="17"/>
      <c r="P83" s="16"/>
      <c r="R83" s="17"/>
      <c r="T83" s="16"/>
      <c r="V83" s="17"/>
      <c r="AH83" s="20"/>
      <c r="AI83" s="20"/>
      <c r="AJ83" s="36"/>
      <c r="AM83" s="22"/>
      <c r="AO83" s="34"/>
    </row>
    <row r="84">
      <c r="D84" s="16"/>
      <c r="F84" s="17"/>
      <c r="H84" s="16"/>
      <c r="J84" s="17"/>
      <c r="L84" s="16"/>
      <c r="N84" s="17"/>
      <c r="P84" s="16"/>
      <c r="R84" s="17"/>
      <c r="T84" s="16"/>
      <c r="V84" s="17"/>
      <c r="AH84" s="20"/>
      <c r="AI84" s="20"/>
      <c r="AJ84" s="36"/>
      <c r="AM84" s="22"/>
      <c r="AO84" s="34"/>
    </row>
    <row r="85">
      <c r="D85" s="16"/>
      <c r="F85" s="17"/>
      <c r="H85" s="16"/>
      <c r="J85" s="17"/>
      <c r="L85" s="16"/>
      <c r="N85" s="17"/>
      <c r="P85" s="16"/>
      <c r="R85" s="17"/>
      <c r="T85" s="16"/>
      <c r="V85" s="17"/>
      <c r="AH85" s="20"/>
      <c r="AI85" s="20"/>
      <c r="AJ85" s="36"/>
      <c r="AM85" s="22"/>
      <c r="AO85" s="34"/>
    </row>
    <row r="86">
      <c r="D86" s="16"/>
      <c r="F86" s="17"/>
      <c r="H86" s="16"/>
      <c r="J86" s="17"/>
      <c r="L86" s="16"/>
      <c r="N86" s="17"/>
      <c r="P86" s="16"/>
      <c r="R86" s="17"/>
      <c r="T86" s="16"/>
      <c r="V86" s="17"/>
      <c r="AH86" s="20"/>
      <c r="AI86" s="20"/>
      <c r="AJ86" s="36"/>
      <c r="AM86" s="22"/>
      <c r="AO86" s="34"/>
    </row>
    <row r="87">
      <c r="D87" s="16"/>
      <c r="F87" s="17"/>
      <c r="H87" s="16"/>
      <c r="J87" s="17"/>
      <c r="L87" s="16"/>
      <c r="N87" s="17"/>
      <c r="P87" s="16"/>
      <c r="R87" s="17"/>
      <c r="T87" s="16"/>
      <c r="V87" s="17"/>
      <c r="AH87" s="20"/>
      <c r="AI87" s="20"/>
      <c r="AJ87" s="36"/>
      <c r="AM87" s="22"/>
      <c r="AO87" s="34"/>
    </row>
    <row r="88">
      <c r="D88" s="16"/>
      <c r="F88" s="17"/>
      <c r="H88" s="16"/>
      <c r="J88" s="17"/>
      <c r="L88" s="16"/>
      <c r="N88" s="17"/>
      <c r="P88" s="16"/>
      <c r="R88" s="17"/>
      <c r="T88" s="16"/>
      <c r="V88" s="17"/>
      <c r="AH88" s="20"/>
      <c r="AI88" s="20"/>
      <c r="AJ88" s="36"/>
      <c r="AM88" s="22"/>
      <c r="AO88" s="34"/>
    </row>
    <row r="89">
      <c r="D89" s="16"/>
      <c r="F89" s="17"/>
      <c r="H89" s="16"/>
      <c r="J89" s="17"/>
      <c r="L89" s="16"/>
      <c r="N89" s="17"/>
      <c r="P89" s="16"/>
      <c r="R89" s="17"/>
      <c r="T89" s="16"/>
      <c r="V89" s="17"/>
      <c r="AH89" s="20"/>
      <c r="AI89" s="20"/>
      <c r="AJ89" s="36"/>
      <c r="AM89" s="22"/>
      <c r="AO89" s="34"/>
    </row>
    <row r="90">
      <c r="D90" s="16"/>
      <c r="F90" s="17"/>
      <c r="H90" s="16"/>
      <c r="J90" s="17"/>
      <c r="L90" s="16"/>
      <c r="N90" s="17"/>
      <c r="P90" s="16"/>
      <c r="R90" s="17"/>
      <c r="T90" s="16"/>
      <c r="V90" s="17"/>
      <c r="AH90" s="20"/>
      <c r="AI90" s="20"/>
      <c r="AJ90" s="36"/>
      <c r="AM90" s="22"/>
      <c r="AO90" s="34"/>
    </row>
    <row r="91">
      <c r="D91" s="16"/>
      <c r="F91" s="17"/>
      <c r="H91" s="16"/>
      <c r="J91" s="17"/>
      <c r="L91" s="16"/>
      <c r="N91" s="17"/>
      <c r="P91" s="16"/>
      <c r="R91" s="17"/>
      <c r="T91" s="16"/>
      <c r="V91" s="17"/>
      <c r="AH91" s="20"/>
      <c r="AI91" s="20"/>
      <c r="AJ91" s="36"/>
      <c r="AM91" s="22"/>
      <c r="AO91" s="34"/>
    </row>
    <row r="92">
      <c r="D92" s="16"/>
      <c r="F92" s="17"/>
      <c r="H92" s="16"/>
      <c r="J92" s="17"/>
      <c r="L92" s="16"/>
      <c r="N92" s="17"/>
      <c r="P92" s="16"/>
      <c r="R92" s="17"/>
      <c r="T92" s="16"/>
      <c r="V92" s="17"/>
      <c r="AH92" s="20"/>
      <c r="AI92" s="20"/>
      <c r="AJ92" s="36"/>
      <c r="AM92" s="22"/>
      <c r="AO92" s="34"/>
    </row>
    <row r="93">
      <c r="D93" s="16"/>
      <c r="F93" s="17"/>
      <c r="H93" s="16"/>
      <c r="J93" s="17"/>
      <c r="L93" s="16"/>
      <c r="N93" s="17"/>
      <c r="P93" s="16"/>
      <c r="R93" s="17"/>
      <c r="T93" s="16"/>
      <c r="V93" s="17"/>
      <c r="AH93" s="20"/>
      <c r="AI93" s="20"/>
      <c r="AJ93" s="36"/>
      <c r="AM93" s="22"/>
      <c r="AO93" s="34"/>
    </row>
    <row r="94">
      <c r="D94" s="16"/>
      <c r="F94" s="17"/>
      <c r="H94" s="16"/>
      <c r="J94" s="17"/>
      <c r="L94" s="16"/>
      <c r="N94" s="17"/>
      <c r="P94" s="16"/>
      <c r="R94" s="17"/>
      <c r="T94" s="16"/>
      <c r="V94" s="17"/>
      <c r="AH94" s="20"/>
      <c r="AI94" s="20"/>
      <c r="AJ94" s="36"/>
      <c r="AM94" s="22"/>
      <c r="AO94" s="34"/>
    </row>
    <row r="95">
      <c r="D95" s="16"/>
      <c r="F95" s="17"/>
      <c r="H95" s="16"/>
      <c r="J95" s="17"/>
      <c r="L95" s="16"/>
      <c r="N95" s="17"/>
      <c r="P95" s="16"/>
      <c r="R95" s="17"/>
      <c r="T95" s="16"/>
      <c r="V95" s="17"/>
      <c r="AH95" s="20"/>
      <c r="AI95" s="20"/>
      <c r="AJ95" s="36"/>
      <c r="AM95" s="22"/>
      <c r="AO95" s="34"/>
    </row>
    <row r="96">
      <c r="D96" s="16"/>
      <c r="F96" s="17"/>
      <c r="H96" s="16"/>
      <c r="J96" s="17"/>
      <c r="L96" s="16"/>
      <c r="N96" s="17"/>
      <c r="P96" s="16"/>
      <c r="R96" s="17"/>
      <c r="T96" s="16"/>
      <c r="V96" s="17"/>
      <c r="AH96" s="20"/>
      <c r="AI96" s="20"/>
      <c r="AJ96" s="36"/>
      <c r="AM96" s="22"/>
      <c r="AO96" s="34"/>
    </row>
    <row r="97">
      <c r="D97" s="16"/>
      <c r="F97" s="17"/>
      <c r="H97" s="16"/>
      <c r="J97" s="17"/>
      <c r="L97" s="16"/>
      <c r="N97" s="17"/>
      <c r="P97" s="16"/>
      <c r="R97" s="17"/>
      <c r="T97" s="16"/>
      <c r="V97" s="17"/>
      <c r="AH97" s="20"/>
      <c r="AI97" s="20"/>
      <c r="AJ97" s="36"/>
      <c r="AM97" s="22"/>
      <c r="AO97" s="34"/>
    </row>
    <row r="98">
      <c r="D98" s="16"/>
      <c r="F98" s="17"/>
      <c r="H98" s="16"/>
      <c r="J98" s="17"/>
      <c r="L98" s="16"/>
      <c r="N98" s="17"/>
      <c r="P98" s="16"/>
      <c r="R98" s="17"/>
      <c r="T98" s="16"/>
      <c r="V98" s="17"/>
      <c r="AH98" s="20"/>
      <c r="AI98" s="20"/>
      <c r="AJ98" s="36"/>
      <c r="AM98" s="22"/>
      <c r="AO98" s="34"/>
    </row>
    <row r="99">
      <c r="D99" s="16"/>
      <c r="F99" s="17"/>
      <c r="H99" s="16"/>
      <c r="J99" s="17"/>
      <c r="L99" s="16"/>
      <c r="N99" s="17"/>
      <c r="P99" s="16"/>
      <c r="R99" s="17"/>
      <c r="T99" s="16"/>
      <c r="V99" s="17"/>
      <c r="AH99" s="20"/>
      <c r="AI99" s="20"/>
      <c r="AJ99" s="36"/>
      <c r="AM99" s="22"/>
      <c r="AO99" s="34"/>
    </row>
    <row r="100">
      <c r="D100" s="16"/>
      <c r="F100" s="17"/>
      <c r="H100" s="16"/>
      <c r="J100" s="17"/>
      <c r="L100" s="16"/>
      <c r="N100" s="17"/>
      <c r="P100" s="16"/>
      <c r="R100" s="17"/>
      <c r="T100" s="16"/>
      <c r="V100" s="17"/>
      <c r="AH100" s="20"/>
      <c r="AI100" s="20"/>
      <c r="AJ100" s="36"/>
      <c r="AM100" s="22"/>
      <c r="AO100" s="34"/>
    </row>
    <row r="101">
      <c r="D101" s="16"/>
      <c r="F101" s="17"/>
      <c r="H101" s="16"/>
      <c r="J101" s="17"/>
      <c r="L101" s="16"/>
      <c r="N101" s="17"/>
      <c r="P101" s="16"/>
      <c r="R101" s="17"/>
      <c r="T101" s="16"/>
      <c r="V101" s="17"/>
      <c r="AH101" s="20"/>
      <c r="AI101" s="20"/>
      <c r="AJ101" s="36"/>
      <c r="AM101" s="22"/>
      <c r="AO101" s="34"/>
    </row>
    <row r="102">
      <c r="D102" s="16"/>
      <c r="F102" s="17"/>
      <c r="H102" s="16"/>
      <c r="J102" s="17"/>
      <c r="L102" s="16"/>
      <c r="N102" s="17"/>
      <c r="P102" s="16"/>
      <c r="R102" s="17"/>
      <c r="T102" s="16"/>
      <c r="V102" s="17"/>
      <c r="AH102" s="20"/>
      <c r="AI102" s="20"/>
      <c r="AJ102" s="36"/>
      <c r="AM102" s="22"/>
      <c r="AO102" s="34"/>
    </row>
    <row r="103">
      <c r="D103" s="16"/>
      <c r="F103" s="17"/>
      <c r="H103" s="16"/>
      <c r="J103" s="17"/>
      <c r="L103" s="16"/>
      <c r="N103" s="17"/>
      <c r="P103" s="16"/>
      <c r="R103" s="17"/>
      <c r="T103" s="16"/>
      <c r="V103" s="17"/>
      <c r="AH103" s="20"/>
      <c r="AI103" s="20"/>
      <c r="AJ103" s="36"/>
      <c r="AM103" s="22"/>
      <c r="AO103" s="34"/>
    </row>
    <row r="104">
      <c r="D104" s="16"/>
      <c r="F104" s="17"/>
      <c r="H104" s="16"/>
      <c r="J104" s="17"/>
      <c r="L104" s="16"/>
      <c r="N104" s="17"/>
      <c r="P104" s="16"/>
      <c r="R104" s="17"/>
      <c r="T104" s="16"/>
      <c r="V104" s="17"/>
      <c r="AH104" s="20"/>
      <c r="AI104" s="20"/>
      <c r="AJ104" s="36"/>
      <c r="AM104" s="22"/>
      <c r="AO104" s="34"/>
    </row>
    <row r="105">
      <c r="D105" s="16"/>
      <c r="F105" s="17"/>
      <c r="H105" s="16"/>
      <c r="J105" s="17"/>
      <c r="L105" s="16"/>
      <c r="N105" s="17"/>
      <c r="P105" s="16"/>
      <c r="R105" s="17"/>
      <c r="T105" s="16"/>
      <c r="V105" s="17"/>
      <c r="AH105" s="20"/>
      <c r="AI105" s="20"/>
      <c r="AJ105" s="36"/>
      <c r="AM105" s="22"/>
      <c r="AO105" s="34"/>
    </row>
    <row r="106">
      <c r="D106" s="16"/>
      <c r="F106" s="17"/>
      <c r="H106" s="16"/>
      <c r="J106" s="17"/>
      <c r="L106" s="16"/>
      <c r="N106" s="17"/>
      <c r="P106" s="16"/>
      <c r="R106" s="17"/>
      <c r="T106" s="16"/>
      <c r="V106" s="17"/>
      <c r="AH106" s="20"/>
      <c r="AI106" s="20"/>
      <c r="AJ106" s="36"/>
      <c r="AM106" s="22"/>
      <c r="AO106" s="34"/>
    </row>
    <row r="107">
      <c r="D107" s="16"/>
      <c r="F107" s="17"/>
      <c r="H107" s="16"/>
      <c r="J107" s="17"/>
      <c r="L107" s="16"/>
      <c r="N107" s="17"/>
      <c r="P107" s="16"/>
      <c r="R107" s="17"/>
      <c r="T107" s="16"/>
      <c r="V107" s="17"/>
      <c r="AH107" s="20"/>
      <c r="AI107" s="20"/>
      <c r="AJ107" s="36"/>
      <c r="AM107" s="22"/>
      <c r="AO107" s="34"/>
    </row>
    <row r="108">
      <c r="D108" s="16"/>
      <c r="F108" s="17"/>
      <c r="H108" s="16"/>
      <c r="J108" s="17"/>
      <c r="L108" s="16"/>
      <c r="N108" s="17"/>
      <c r="P108" s="16"/>
      <c r="R108" s="17"/>
      <c r="T108" s="16"/>
      <c r="V108" s="17"/>
      <c r="AH108" s="20"/>
      <c r="AI108" s="20"/>
      <c r="AJ108" s="36"/>
      <c r="AM108" s="22"/>
      <c r="AO108" s="34"/>
    </row>
    <row r="109">
      <c r="D109" s="16"/>
      <c r="F109" s="17"/>
      <c r="H109" s="16"/>
      <c r="J109" s="17"/>
      <c r="L109" s="16"/>
      <c r="N109" s="17"/>
      <c r="P109" s="16"/>
      <c r="R109" s="17"/>
      <c r="T109" s="16"/>
      <c r="V109" s="17"/>
      <c r="AH109" s="20"/>
      <c r="AI109" s="20"/>
      <c r="AJ109" s="36"/>
      <c r="AM109" s="22"/>
      <c r="AO109" s="34"/>
    </row>
    <row r="110">
      <c r="D110" s="16"/>
      <c r="F110" s="17"/>
      <c r="H110" s="16"/>
      <c r="J110" s="17"/>
      <c r="L110" s="16"/>
      <c r="N110" s="17"/>
      <c r="P110" s="16"/>
      <c r="R110" s="17"/>
      <c r="T110" s="16"/>
      <c r="V110" s="17"/>
      <c r="AH110" s="20"/>
      <c r="AI110" s="20"/>
      <c r="AJ110" s="36"/>
      <c r="AM110" s="22"/>
      <c r="AO110" s="34"/>
    </row>
    <row r="111">
      <c r="D111" s="16"/>
      <c r="F111" s="17"/>
      <c r="H111" s="16"/>
      <c r="J111" s="17"/>
      <c r="L111" s="16"/>
      <c r="N111" s="17"/>
      <c r="P111" s="16"/>
      <c r="R111" s="17"/>
      <c r="T111" s="16"/>
      <c r="V111" s="17"/>
      <c r="AH111" s="20"/>
      <c r="AI111" s="20"/>
      <c r="AJ111" s="36"/>
      <c r="AM111" s="22"/>
      <c r="AO111" s="34"/>
    </row>
    <row r="112">
      <c r="D112" s="16"/>
      <c r="F112" s="17"/>
      <c r="H112" s="16"/>
      <c r="J112" s="17"/>
      <c r="L112" s="16"/>
      <c r="N112" s="17"/>
      <c r="P112" s="16"/>
      <c r="R112" s="17"/>
      <c r="T112" s="16"/>
      <c r="V112" s="17"/>
      <c r="AH112" s="20"/>
      <c r="AI112" s="20"/>
      <c r="AJ112" s="36"/>
      <c r="AM112" s="22"/>
      <c r="AO112" s="34"/>
    </row>
    <row r="113">
      <c r="D113" s="16"/>
      <c r="F113" s="17"/>
      <c r="H113" s="16"/>
      <c r="J113" s="17"/>
      <c r="L113" s="16"/>
      <c r="N113" s="17"/>
      <c r="P113" s="16"/>
      <c r="R113" s="17"/>
      <c r="T113" s="16"/>
      <c r="V113" s="17"/>
      <c r="AH113" s="20"/>
      <c r="AI113" s="20"/>
      <c r="AJ113" s="36"/>
      <c r="AM113" s="22"/>
      <c r="AO113" s="34"/>
    </row>
    <row r="114">
      <c r="D114" s="16"/>
      <c r="F114" s="17"/>
      <c r="H114" s="16"/>
      <c r="J114" s="17"/>
      <c r="L114" s="16"/>
      <c r="N114" s="17"/>
      <c r="P114" s="16"/>
      <c r="R114" s="17"/>
      <c r="T114" s="16"/>
      <c r="V114" s="17"/>
      <c r="AH114" s="20"/>
      <c r="AI114" s="20"/>
      <c r="AJ114" s="36"/>
      <c r="AM114" s="22"/>
      <c r="AO114" s="34"/>
    </row>
    <row r="115">
      <c r="D115" s="16"/>
      <c r="F115" s="17"/>
      <c r="H115" s="16"/>
      <c r="J115" s="17"/>
      <c r="L115" s="16"/>
      <c r="N115" s="17"/>
      <c r="P115" s="16"/>
      <c r="R115" s="17"/>
      <c r="T115" s="16"/>
      <c r="V115" s="17"/>
      <c r="AH115" s="20"/>
      <c r="AI115" s="20"/>
      <c r="AJ115" s="36"/>
      <c r="AM115" s="22"/>
      <c r="AO115" s="34"/>
    </row>
    <row r="116">
      <c r="D116" s="16"/>
      <c r="F116" s="17"/>
      <c r="H116" s="16"/>
      <c r="J116" s="17"/>
      <c r="L116" s="16"/>
      <c r="N116" s="17"/>
      <c r="P116" s="16"/>
      <c r="R116" s="17"/>
      <c r="T116" s="16"/>
      <c r="V116" s="17"/>
      <c r="AH116" s="20"/>
      <c r="AI116" s="20"/>
      <c r="AJ116" s="36"/>
      <c r="AM116" s="22"/>
      <c r="AO116" s="34"/>
    </row>
    <row r="117">
      <c r="D117" s="16"/>
      <c r="F117" s="17"/>
      <c r="H117" s="16"/>
      <c r="J117" s="17"/>
      <c r="L117" s="16"/>
      <c r="N117" s="17"/>
      <c r="P117" s="16"/>
      <c r="R117" s="17"/>
      <c r="T117" s="16"/>
      <c r="V117" s="17"/>
      <c r="AH117" s="20"/>
      <c r="AI117" s="20"/>
      <c r="AJ117" s="36"/>
      <c r="AM117" s="22"/>
      <c r="AO117" s="34"/>
    </row>
    <row r="118">
      <c r="D118" s="16"/>
      <c r="F118" s="17"/>
      <c r="H118" s="16"/>
      <c r="J118" s="17"/>
      <c r="L118" s="16"/>
      <c r="N118" s="17"/>
      <c r="P118" s="16"/>
      <c r="R118" s="17"/>
      <c r="T118" s="16"/>
      <c r="V118" s="17"/>
      <c r="AH118" s="20"/>
      <c r="AI118" s="20"/>
      <c r="AJ118" s="36"/>
      <c r="AM118" s="22"/>
      <c r="AO118" s="34"/>
    </row>
    <row r="119">
      <c r="D119" s="16"/>
      <c r="F119" s="17"/>
      <c r="H119" s="16"/>
      <c r="J119" s="17"/>
      <c r="L119" s="16"/>
      <c r="N119" s="17"/>
      <c r="P119" s="16"/>
      <c r="R119" s="17"/>
      <c r="T119" s="16"/>
      <c r="V119" s="17"/>
      <c r="AH119" s="20"/>
      <c r="AI119" s="20"/>
      <c r="AJ119" s="36"/>
      <c r="AM119" s="22"/>
      <c r="AO119" s="34"/>
    </row>
    <row r="120">
      <c r="D120" s="16"/>
      <c r="F120" s="17"/>
      <c r="H120" s="16"/>
      <c r="J120" s="17"/>
      <c r="L120" s="16"/>
      <c r="N120" s="17"/>
      <c r="P120" s="16"/>
      <c r="R120" s="17"/>
      <c r="T120" s="16"/>
      <c r="V120" s="17"/>
      <c r="AH120" s="20"/>
      <c r="AI120" s="20"/>
      <c r="AJ120" s="36"/>
      <c r="AM120" s="22"/>
      <c r="AO120" s="34"/>
    </row>
    <row r="121">
      <c r="D121" s="16"/>
      <c r="F121" s="17"/>
      <c r="H121" s="16"/>
      <c r="J121" s="17"/>
      <c r="L121" s="16"/>
      <c r="N121" s="17"/>
      <c r="P121" s="16"/>
      <c r="R121" s="17"/>
      <c r="T121" s="16"/>
      <c r="V121" s="17"/>
      <c r="AH121" s="20"/>
      <c r="AI121" s="20"/>
      <c r="AJ121" s="36"/>
      <c r="AM121" s="22"/>
      <c r="AO121" s="34"/>
    </row>
    <row r="122">
      <c r="D122" s="16"/>
      <c r="F122" s="17"/>
      <c r="H122" s="16"/>
      <c r="J122" s="17"/>
      <c r="L122" s="16"/>
      <c r="N122" s="17"/>
      <c r="P122" s="16"/>
      <c r="R122" s="17"/>
      <c r="T122" s="16"/>
      <c r="V122" s="17"/>
      <c r="AH122" s="20"/>
      <c r="AI122" s="20"/>
      <c r="AJ122" s="36"/>
      <c r="AM122" s="22"/>
      <c r="AO122" s="34"/>
    </row>
    <row r="123">
      <c r="D123" s="16"/>
      <c r="F123" s="17"/>
      <c r="H123" s="16"/>
      <c r="J123" s="17"/>
      <c r="L123" s="16"/>
      <c r="N123" s="17"/>
      <c r="P123" s="16"/>
      <c r="R123" s="17"/>
      <c r="T123" s="16"/>
      <c r="V123" s="17"/>
      <c r="AH123" s="20"/>
      <c r="AI123" s="20"/>
      <c r="AJ123" s="36"/>
      <c r="AM123" s="22"/>
      <c r="AO123" s="34"/>
    </row>
    <row r="124">
      <c r="D124" s="16"/>
      <c r="F124" s="17"/>
      <c r="H124" s="16"/>
      <c r="J124" s="17"/>
      <c r="L124" s="16"/>
      <c r="N124" s="17"/>
      <c r="P124" s="16"/>
      <c r="R124" s="17"/>
      <c r="T124" s="16"/>
      <c r="V124" s="17"/>
      <c r="AH124" s="20"/>
      <c r="AI124" s="20"/>
      <c r="AJ124" s="36"/>
      <c r="AM124" s="22"/>
      <c r="AO124" s="34"/>
    </row>
    <row r="125">
      <c r="D125" s="16"/>
      <c r="F125" s="17"/>
      <c r="H125" s="16"/>
      <c r="J125" s="17"/>
      <c r="L125" s="16"/>
      <c r="N125" s="17"/>
      <c r="P125" s="16"/>
      <c r="R125" s="17"/>
      <c r="T125" s="16"/>
      <c r="V125" s="17"/>
      <c r="AH125" s="20"/>
      <c r="AI125" s="20"/>
      <c r="AJ125" s="36"/>
      <c r="AM125" s="22"/>
      <c r="AO125" s="34"/>
    </row>
    <row r="126">
      <c r="D126" s="16"/>
      <c r="F126" s="17"/>
      <c r="H126" s="16"/>
      <c r="J126" s="17"/>
      <c r="L126" s="16"/>
      <c r="N126" s="17"/>
      <c r="P126" s="16"/>
      <c r="R126" s="17"/>
      <c r="T126" s="16"/>
      <c r="V126" s="17"/>
      <c r="AH126" s="20"/>
      <c r="AI126" s="20"/>
      <c r="AJ126" s="36"/>
      <c r="AM126" s="22"/>
      <c r="AO126" s="34"/>
    </row>
    <row r="127">
      <c r="D127" s="16"/>
      <c r="F127" s="17"/>
      <c r="H127" s="16"/>
      <c r="J127" s="17"/>
      <c r="L127" s="16"/>
      <c r="N127" s="17"/>
      <c r="P127" s="16"/>
      <c r="R127" s="17"/>
      <c r="T127" s="16"/>
      <c r="V127" s="17"/>
      <c r="AH127" s="20"/>
      <c r="AI127" s="20"/>
      <c r="AJ127" s="36"/>
      <c r="AM127" s="22"/>
      <c r="AO127" s="34"/>
    </row>
    <row r="128">
      <c r="D128" s="16"/>
      <c r="F128" s="17"/>
      <c r="H128" s="16"/>
      <c r="J128" s="17"/>
      <c r="L128" s="16"/>
      <c r="N128" s="17"/>
      <c r="P128" s="16"/>
      <c r="R128" s="17"/>
      <c r="T128" s="16"/>
      <c r="V128" s="17"/>
      <c r="AH128" s="20"/>
      <c r="AI128" s="20"/>
      <c r="AJ128" s="36"/>
      <c r="AM128" s="22"/>
      <c r="AO128" s="34"/>
    </row>
    <row r="129">
      <c r="D129" s="16"/>
      <c r="F129" s="17"/>
      <c r="H129" s="16"/>
      <c r="J129" s="17"/>
      <c r="L129" s="16"/>
      <c r="N129" s="17"/>
      <c r="P129" s="16"/>
      <c r="R129" s="17"/>
      <c r="T129" s="16"/>
      <c r="V129" s="17"/>
      <c r="AH129" s="20"/>
      <c r="AI129" s="20"/>
      <c r="AJ129" s="36"/>
      <c r="AM129" s="22"/>
      <c r="AO129" s="34"/>
    </row>
    <row r="130">
      <c r="D130" s="16"/>
      <c r="F130" s="17"/>
      <c r="H130" s="16"/>
      <c r="J130" s="17"/>
      <c r="L130" s="16"/>
      <c r="N130" s="17"/>
      <c r="P130" s="16"/>
      <c r="R130" s="17"/>
      <c r="T130" s="16"/>
      <c r="V130" s="17"/>
      <c r="AH130" s="20"/>
      <c r="AI130" s="20"/>
      <c r="AJ130" s="36"/>
      <c r="AM130" s="22"/>
      <c r="AO130" s="34"/>
    </row>
    <row r="131">
      <c r="D131" s="16"/>
      <c r="F131" s="17"/>
      <c r="H131" s="16"/>
      <c r="J131" s="17"/>
      <c r="L131" s="16"/>
      <c r="N131" s="17"/>
      <c r="P131" s="16"/>
      <c r="R131" s="17"/>
      <c r="T131" s="16"/>
      <c r="V131" s="17"/>
      <c r="AH131" s="20"/>
      <c r="AI131" s="20"/>
      <c r="AJ131" s="36"/>
      <c r="AM131" s="22"/>
      <c r="AO131" s="34"/>
    </row>
    <row r="132">
      <c r="D132" s="16"/>
      <c r="F132" s="17"/>
      <c r="H132" s="16"/>
      <c r="J132" s="17"/>
      <c r="L132" s="16"/>
      <c r="N132" s="17"/>
      <c r="P132" s="16"/>
      <c r="R132" s="17"/>
      <c r="T132" s="16"/>
      <c r="V132" s="17"/>
      <c r="AH132" s="20"/>
      <c r="AI132" s="20"/>
      <c r="AJ132" s="36"/>
      <c r="AM132" s="22"/>
      <c r="AO132" s="34"/>
    </row>
    <row r="133">
      <c r="D133" s="16"/>
      <c r="F133" s="17"/>
      <c r="H133" s="16"/>
      <c r="J133" s="17"/>
      <c r="L133" s="16"/>
      <c r="N133" s="17"/>
      <c r="P133" s="16"/>
      <c r="R133" s="17"/>
      <c r="T133" s="16"/>
      <c r="V133" s="17"/>
      <c r="AH133" s="20"/>
      <c r="AI133" s="20"/>
      <c r="AJ133" s="36"/>
      <c r="AM133" s="22"/>
      <c r="AO133" s="34"/>
    </row>
    <row r="134">
      <c r="D134" s="16"/>
      <c r="F134" s="17"/>
      <c r="H134" s="16"/>
      <c r="J134" s="17"/>
      <c r="L134" s="16"/>
      <c r="N134" s="17"/>
      <c r="P134" s="16"/>
      <c r="R134" s="17"/>
      <c r="T134" s="16"/>
      <c r="V134" s="17"/>
      <c r="AH134" s="20"/>
      <c r="AI134" s="20"/>
      <c r="AJ134" s="36"/>
      <c r="AM134" s="22"/>
      <c r="AO134" s="34"/>
    </row>
    <row r="135">
      <c r="D135" s="16"/>
      <c r="F135" s="17"/>
      <c r="H135" s="16"/>
      <c r="J135" s="17"/>
      <c r="L135" s="16"/>
      <c r="N135" s="17"/>
      <c r="P135" s="16"/>
      <c r="R135" s="17"/>
      <c r="T135" s="16"/>
      <c r="V135" s="17"/>
      <c r="AH135" s="20"/>
      <c r="AI135" s="20"/>
      <c r="AJ135" s="36"/>
      <c r="AM135" s="22"/>
      <c r="AO135" s="34"/>
    </row>
    <row r="136">
      <c r="D136" s="16"/>
      <c r="F136" s="17"/>
      <c r="H136" s="16"/>
      <c r="J136" s="17"/>
      <c r="L136" s="16"/>
      <c r="N136" s="17"/>
      <c r="P136" s="16"/>
      <c r="R136" s="17"/>
      <c r="T136" s="16"/>
      <c r="V136" s="17"/>
      <c r="AH136" s="20"/>
      <c r="AI136" s="20"/>
      <c r="AJ136" s="36"/>
      <c r="AM136" s="22"/>
      <c r="AO136" s="34"/>
    </row>
    <row r="137">
      <c r="D137" s="16"/>
      <c r="F137" s="17"/>
      <c r="H137" s="16"/>
      <c r="J137" s="17"/>
      <c r="L137" s="16"/>
      <c r="N137" s="17"/>
      <c r="P137" s="16"/>
      <c r="R137" s="17"/>
      <c r="T137" s="16"/>
      <c r="V137" s="17"/>
      <c r="AH137" s="20"/>
      <c r="AI137" s="20"/>
      <c r="AJ137" s="36"/>
      <c r="AM137" s="22"/>
      <c r="AO137" s="34"/>
    </row>
    <row r="138">
      <c r="D138" s="16"/>
      <c r="F138" s="17"/>
      <c r="H138" s="16"/>
      <c r="J138" s="17"/>
      <c r="L138" s="16"/>
      <c r="N138" s="17"/>
      <c r="P138" s="16"/>
      <c r="R138" s="17"/>
      <c r="T138" s="16"/>
      <c r="V138" s="17"/>
      <c r="AH138" s="20"/>
      <c r="AI138" s="20"/>
      <c r="AJ138" s="36"/>
      <c r="AM138" s="22"/>
      <c r="AO138" s="34"/>
    </row>
    <row r="139">
      <c r="D139" s="16"/>
      <c r="F139" s="17"/>
      <c r="H139" s="16"/>
      <c r="J139" s="17"/>
      <c r="L139" s="16"/>
      <c r="N139" s="17"/>
      <c r="P139" s="16"/>
      <c r="R139" s="17"/>
      <c r="T139" s="16"/>
      <c r="V139" s="17"/>
      <c r="AH139" s="20"/>
      <c r="AI139" s="20"/>
      <c r="AJ139" s="36"/>
      <c r="AM139" s="22"/>
      <c r="AO139" s="34"/>
    </row>
    <row r="140">
      <c r="D140" s="16"/>
      <c r="F140" s="17"/>
      <c r="H140" s="16"/>
      <c r="J140" s="17"/>
      <c r="L140" s="16"/>
      <c r="N140" s="17"/>
      <c r="P140" s="16"/>
      <c r="R140" s="17"/>
      <c r="T140" s="16"/>
      <c r="V140" s="17"/>
      <c r="AH140" s="20"/>
      <c r="AI140" s="20"/>
      <c r="AJ140" s="36"/>
      <c r="AM140" s="22"/>
      <c r="AO140" s="34"/>
    </row>
    <row r="141">
      <c r="D141" s="16"/>
      <c r="F141" s="17"/>
      <c r="H141" s="16"/>
      <c r="J141" s="17"/>
      <c r="L141" s="16"/>
      <c r="N141" s="17"/>
      <c r="P141" s="16"/>
      <c r="R141" s="17"/>
      <c r="T141" s="16"/>
      <c r="V141" s="17"/>
      <c r="AH141" s="20"/>
      <c r="AI141" s="20"/>
      <c r="AJ141" s="36"/>
      <c r="AM141" s="22"/>
      <c r="AO141" s="34"/>
    </row>
    <row r="142">
      <c r="D142" s="16"/>
      <c r="F142" s="17"/>
      <c r="H142" s="16"/>
      <c r="J142" s="17"/>
      <c r="L142" s="16"/>
      <c r="N142" s="17"/>
      <c r="P142" s="16"/>
      <c r="R142" s="17"/>
      <c r="T142" s="16"/>
      <c r="V142" s="17"/>
      <c r="AH142" s="20"/>
      <c r="AI142" s="20"/>
      <c r="AJ142" s="36"/>
      <c r="AM142" s="22"/>
      <c r="AO142" s="34"/>
    </row>
    <row r="143">
      <c r="D143" s="16"/>
      <c r="F143" s="17"/>
      <c r="H143" s="16"/>
      <c r="J143" s="17"/>
      <c r="L143" s="16"/>
      <c r="N143" s="17"/>
      <c r="P143" s="16"/>
      <c r="R143" s="17"/>
      <c r="T143" s="16"/>
      <c r="V143" s="17"/>
      <c r="AH143" s="20"/>
      <c r="AI143" s="20"/>
      <c r="AJ143" s="36"/>
      <c r="AM143" s="22"/>
      <c r="AO143" s="34"/>
    </row>
    <row r="144">
      <c r="D144" s="16"/>
      <c r="F144" s="17"/>
      <c r="H144" s="16"/>
      <c r="J144" s="17"/>
      <c r="L144" s="16"/>
      <c r="N144" s="17"/>
      <c r="P144" s="16"/>
      <c r="R144" s="17"/>
      <c r="T144" s="16"/>
      <c r="V144" s="17"/>
      <c r="AH144" s="20"/>
      <c r="AI144" s="20"/>
      <c r="AJ144" s="36"/>
      <c r="AM144" s="22"/>
      <c r="AO144" s="34"/>
    </row>
    <row r="145">
      <c r="D145" s="16"/>
      <c r="F145" s="17"/>
      <c r="H145" s="16"/>
      <c r="J145" s="17"/>
      <c r="L145" s="16"/>
      <c r="N145" s="17"/>
      <c r="P145" s="16"/>
      <c r="R145" s="17"/>
      <c r="T145" s="16"/>
      <c r="V145" s="17"/>
      <c r="AH145" s="20"/>
      <c r="AI145" s="20"/>
      <c r="AJ145" s="36"/>
      <c r="AM145" s="22"/>
      <c r="AO145" s="34"/>
    </row>
    <row r="146">
      <c r="D146" s="16"/>
      <c r="F146" s="17"/>
      <c r="H146" s="16"/>
      <c r="J146" s="17"/>
      <c r="L146" s="16"/>
      <c r="N146" s="17"/>
      <c r="P146" s="16"/>
      <c r="R146" s="17"/>
      <c r="T146" s="16"/>
      <c r="V146" s="17"/>
      <c r="AH146" s="20"/>
      <c r="AI146" s="20"/>
      <c r="AJ146" s="36"/>
      <c r="AM146" s="22"/>
      <c r="AO146" s="34"/>
    </row>
    <row r="147">
      <c r="D147" s="16"/>
      <c r="F147" s="17"/>
      <c r="H147" s="16"/>
      <c r="J147" s="17"/>
      <c r="L147" s="16"/>
      <c r="N147" s="17"/>
      <c r="P147" s="16"/>
      <c r="R147" s="17"/>
      <c r="T147" s="16"/>
      <c r="V147" s="17"/>
      <c r="AH147" s="20"/>
      <c r="AI147" s="20"/>
      <c r="AJ147" s="36"/>
      <c r="AM147" s="22"/>
      <c r="AO147" s="34"/>
    </row>
    <row r="148">
      <c r="D148" s="16"/>
      <c r="F148" s="17"/>
      <c r="H148" s="16"/>
      <c r="J148" s="17"/>
      <c r="L148" s="16"/>
      <c r="N148" s="17"/>
      <c r="P148" s="16"/>
      <c r="R148" s="17"/>
      <c r="T148" s="16"/>
      <c r="V148" s="17"/>
      <c r="AH148" s="20"/>
      <c r="AI148" s="20"/>
      <c r="AJ148" s="36"/>
      <c r="AM148" s="22"/>
      <c r="AO148" s="34"/>
    </row>
    <row r="149">
      <c r="D149" s="16"/>
      <c r="F149" s="17"/>
      <c r="H149" s="16"/>
      <c r="J149" s="17"/>
      <c r="L149" s="16"/>
      <c r="N149" s="17"/>
      <c r="P149" s="16"/>
      <c r="R149" s="17"/>
      <c r="T149" s="16"/>
      <c r="V149" s="17"/>
      <c r="AH149" s="20"/>
      <c r="AI149" s="20"/>
      <c r="AJ149" s="36"/>
      <c r="AM149" s="22"/>
      <c r="AO149" s="34"/>
    </row>
    <row r="150">
      <c r="D150" s="16"/>
      <c r="F150" s="17"/>
      <c r="H150" s="16"/>
      <c r="J150" s="17"/>
      <c r="L150" s="16"/>
      <c r="N150" s="17"/>
      <c r="P150" s="16"/>
      <c r="R150" s="17"/>
      <c r="T150" s="16"/>
      <c r="V150" s="17"/>
      <c r="AH150" s="20"/>
      <c r="AI150" s="20"/>
      <c r="AJ150" s="36"/>
      <c r="AM150" s="22"/>
      <c r="AO150" s="34"/>
    </row>
    <row r="151">
      <c r="D151" s="16"/>
      <c r="F151" s="17"/>
      <c r="H151" s="16"/>
      <c r="J151" s="17"/>
      <c r="L151" s="16"/>
      <c r="N151" s="17"/>
      <c r="P151" s="16"/>
      <c r="R151" s="17"/>
      <c r="T151" s="16"/>
      <c r="V151" s="17"/>
      <c r="AH151" s="20"/>
      <c r="AI151" s="20"/>
      <c r="AJ151" s="36"/>
      <c r="AM151" s="22"/>
      <c r="AO151" s="34"/>
    </row>
    <row r="152">
      <c r="D152" s="16"/>
      <c r="F152" s="17"/>
      <c r="H152" s="16"/>
      <c r="J152" s="17"/>
      <c r="L152" s="16"/>
      <c r="N152" s="17"/>
      <c r="P152" s="16"/>
      <c r="R152" s="17"/>
      <c r="T152" s="16"/>
      <c r="V152" s="17"/>
      <c r="AH152" s="20"/>
      <c r="AI152" s="20"/>
      <c r="AJ152" s="36"/>
      <c r="AM152" s="22"/>
      <c r="AO152" s="34"/>
    </row>
    <row r="153">
      <c r="D153" s="16"/>
      <c r="F153" s="17"/>
      <c r="H153" s="16"/>
      <c r="J153" s="17"/>
      <c r="L153" s="16"/>
      <c r="N153" s="17"/>
      <c r="P153" s="16"/>
      <c r="R153" s="17"/>
      <c r="T153" s="16"/>
      <c r="V153" s="17"/>
      <c r="AH153" s="20"/>
      <c r="AI153" s="20"/>
      <c r="AJ153" s="36"/>
      <c r="AM153" s="22"/>
      <c r="AO153" s="34"/>
    </row>
    <row r="154">
      <c r="D154" s="16"/>
      <c r="F154" s="17"/>
      <c r="H154" s="16"/>
      <c r="J154" s="17"/>
      <c r="L154" s="16"/>
      <c r="N154" s="17"/>
      <c r="P154" s="16"/>
      <c r="R154" s="17"/>
      <c r="T154" s="16"/>
      <c r="V154" s="17"/>
      <c r="AH154" s="20"/>
      <c r="AI154" s="20"/>
      <c r="AJ154" s="36"/>
      <c r="AM154" s="22"/>
      <c r="AO154" s="34"/>
    </row>
    <row r="155">
      <c r="D155" s="16"/>
      <c r="F155" s="17"/>
      <c r="H155" s="16"/>
      <c r="J155" s="17"/>
      <c r="L155" s="16"/>
      <c r="N155" s="17"/>
      <c r="P155" s="16"/>
      <c r="R155" s="17"/>
      <c r="T155" s="16"/>
      <c r="V155" s="17"/>
      <c r="AH155" s="20"/>
      <c r="AI155" s="20"/>
      <c r="AJ155" s="36"/>
      <c r="AM155" s="22"/>
      <c r="AO155" s="34"/>
    </row>
    <row r="156">
      <c r="D156" s="16"/>
      <c r="F156" s="17"/>
      <c r="H156" s="16"/>
      <c r="J156" s="17"/>
      <c r="L156" s="16"/>
      <c r="N156" s="17"/>
      <c r="P156" s="16"/>
      <c r="R156" s="17"/>
      <c r="T156" s="16"/>
      <c r="V156" s="17"/>
      <c r="AH156" s="20"/>
      <c r="AI156" s="20"/>
      <c r="AJ156" s="36"/>
      <c r="AM156" s="22"/>
      <c r="AO156" s="34"/>
    </row>
    <row r="157">
      <c r="D157" s="16"/>
      <c r="F157" s="17"/>
      <c r="H157" s="16"/>
      <c r="J157" s="17"/>
      <c r="L157" s="16"/>
      <c r="N157" s="17"/>
      <c r="P157" s="16"/>
      <c r="R157" s="17"/>
      <c r="T157" s="16"/>
      <c r="V157" s="17"/>
      <c r="AH157" s="20"/>
      <c r="AI157" s="20"/>
      <c r="AJ157" s="36"/>
      <c r="AM157" s="22"/>
      <c r="AO157" s="34"/>
    </row>
    <row r="158">
      <c r="D158" s="16"/>
      <c r="F158" s="17"/>
      <c r="H158" s="16"/>
      <c r="J158" s="17"/>
      <c r="L158" s="16"/>
      <c r="N158" s="17"/>
      <c r="P158" s="16"/>
      <c r="R158" s="17"/>
      <c r="T158" s="16"/>
      <c r="V158" s="17"/>
      <c r="AH158" s="20"/>
      <c r="AI158" s="20"/>
      <c r="AJ158" s="36"/>
      <c r="AM158" s="22"/>
      <c r="AO158" s="34"/>
    </row>
    <row r="159">
      <c r="D159" s="16"/>
      <c r="F159" s="17"/>
      <c r="H159" s="16"/>
      <c r="J159" s="17"/>
      <c r="L159" s="16"/>
      <c r="N159" s="17"/>
      <c r="P159" s="16"/>
      <c r="R159" s="17"/>
      <c r="T159" s="16"/>
      <c r="V159" s="17"/>
      <c r="AH159" s="20"/>
      <c r="AI159" s="20"/>
      <c r="AJ159" s="36"/>
      <c r="AM159" s="22"/>
      <c r="AO159" s="34"/>
    </row>
    <row r="160">
      <c r="D160" s="16"/>
      <c r="F160" s="17"/>
      <c r="H160" s="16"/>
      <c r="J160" s="17"/>
      <c r="L160" s="16"/>
      <c r="N160" s="17"/>
      <c r="P160" s="16"/>
      <c r="R160" s="17"/>
      <c r="T160" s="16"/>
      <c r="V160" s="17"/>
      <c r="AH160" s="20"/>
      <c r="AI160" s="20"/>
      <c r="AJ160" s="36"/>
      <c r="AM160" s="22"/>
      <c r="AO160" s="34"/>
    </row>
    <row r="161">
      <c r="D161" s="16"/>
      <c r="F161" s="17"/>
      <c r="H161" s="16"/>
      <c r="J161" s="17"/>
      <c r="L161" s="16"/>
      <c r="N161" s="17"/>
      <c r="P161" s="16"/>
      <c r="R161" s="17"/>
      <c r="T161" s="16"/>
      <c r="V161" s="17"/>
      <c r="AH161" s="20"/>
      <c r="AI161" s="20"/>
      <c r="AJ161" s="36"/>
      <c r="AM161" s="22"/>
      <c r="AO161" s="34"/>
    </row>
    <row r="162">
      <c r="D162" s="16"/>
      <c r="F162" s="17"/>
      <c r="H162" s="16"/>
      <c r="J162" s="17"/>
      <c r="L162" s="16"/>
      <c r="N162" s="17"/>
      <c r="P162" s="16"/>
      <c r="R162" s="17"/>
      <c r="T162" s="16"/>
      <c r="V162" s="17"/>
      <c r="AH162" s="20"/>
      <c r="AI162" s="20"/>
      <c r="AJ162" s="36"/>
      <c r="AM162" s="22"/>
      <c r="AO162" s="34"/>
    </row>
    <row r="163">
      <c r="D163" s="16"/>
      <c r="F163" s="17"/>
      <c r="H163" s="16"/>
      <c r="J163" s="17"/>
      <c r="L163" s="16"/>
      <c r="N163" s="17"/>
      <c r="P163" s="16"/>
      <c r="R163" s="17"/>
      <c r="T163" s="16"/>
      <c r="V163" s="17"/>
      <c r="AH163" s="20"/>
      <c r="AI163" s="20"/>
      <c r="AJ163" s="36"/>
      <c r="AM163" s="22"/>
      <c r="AO163" s="34"/>
    </row>
    <row r="164">
      <c r="D164" s="16"/>
      <c r="F164" s="17"/>
      <c r="H164" s="16"/>
      <c r="J164" s="17"/>
      <c r="L164" s="16"/>
      <c r="N164" s="17"/>
      <c r="P164" s="16"/>
      <c r="R164" s="17"/>
      <c r="T164" s="16"/>
      <c r="V164" s="17"/>
      <c r="AH164" s="20"/>
      <c r="AI164" s="20"/>
      <c r="AJ164" s="36"/>
      <c r="AM164" s="22"/>
      <c r="AO164" s="34"/>
    </row>
    <row r="165">
      <c r="D165" s="16"/>
      <c r="F165" s="17"/>
      <c r="H165" s="16"/>
      <c r="J165" s="17"/>
      <c r="L165" s="16"/>
      <c r="N165" s="17"/>
      <c r="P165" s="16"/>
      <c r="R165" s="17"/>
      <c r="T165" s="16"/>
      <c r="V165" s="17"/>
      <c r="AH165" s="20"/>
      <c r="AI165" s="20"/>
      <c r="AJ165" s="36"/>
      <c r="AM165" s="22"/>
      <c r="AO165" s="34"/>
    </row>
    <row r="166">
      <c r="D166" s="16"/>
      <c r="F166" s="17"/>
      <c r="H166" s="16"/>
      <c r="J166" s="17"/>
      <c r="L166" s="16"/>
      <c r="N166" s="17"/>
      <c r="P166" s="16"/>
      <c r="R166" s="17"/>
      <c r="T166" s="16"/>
      <c r="V166" s="17"/>
      <c r="AH166" s="20"/>
      <c r="AI166" s="20"/>
      <c r="AJ166" s="36"/>
      <c r="AM166" s="22"/>
      <c r="AO166" s="34"/>
    </row>
    <row r="167">
      <c r="D167" s="16"/>
      <c r="F167" s="17"/>
      <c r="H167" s="16"/>
      <c r="J167" s="17"/>
      <c r="L167" s="16"/>
      <c r="N167" s="17"/>
      <c r="P167" s="16"/>
      <c r="R167" s="17"/>
      <c r="T167" s="16"/>
      <c r="V167" s="17"/>
      <c r="AH167" s="20"/>
      <c r="AI167" s="20"/>
      <c r="AJ167" s="36"/>
      <c r="AM167" s="22"/>
      <c r="AO167" s="34"/>
    </row>
    <row r="168">
      <c r="D168" s="16"/>
      <c r="F168" s="17"/>
      <c r="H168" s="16"/>
      <c r="J168" s="17"/>
      <c r="L168" s="16"/>
      <c r="N168" s="17"/>
      <c r="P168" s="16"/>
      <c r="R168" s="17"/>
      <c r="T168" s="16"/>
      <c r="V168" s="17"/>
      <c r="AH168" s="20"/>
      <c r="AI168" s="20"/>
      <c r="AJ168" s="36"/>
      <c r="AM168" s="22"/>
      <c r="AO168" s="34"/>
    </row>
    <row r="169">
      <c r="D169" s="16"/>
      <c r="F169" s="17"/>
      <c r="H169" s="16"/>
      <c r="J169" s="17"/>
      <c r="L169" s="16"/>
      <c r="N169" s="17"/>
      <c r="P169" s="16"/>
      <c r="R169" s="17"/>
      <c r="T169" s="16"/>
      <c r="V169" s="17"/>
      <c r="AH169" s="20"/>
      <c r="AI169" s="20"/>
      <c r="AJ169" s="36"/>
      <c r="AM169" s="22"/>
      <c r="AO169" s="34"/>
    </row>
    <row r="170">
      <c r="D170" s="16"/>
      <c r="F170" s="17"/>
      <c r="H170" s="16"/>
      <c r="J170" s="17"/>
      <c r="L170" s="16"/>
      <c r="N170" s="17"/>
      <c r="P170" s="16"/>
      <c r="R170" s="17"/>
      <c r="T170" s="16"/>
      <c r="V170" s="17"/>
      <c r="AH170" s="20"/>
      <c r="AI170" s="20"/>
      <c r="AJ170" s="36"/>
      <c r="AM170" s="22"/>
      <c r="AO170" s="34"/>
    </row>
    <row r="171">
      <c r="D171" s="16"/>
      <c r="F171" s="17"/>
      <c r="H171" s="16"/>
      <c r="J171" s="17"/>
      <c r="L171" s="16"/>
      <c r="N171" s="17"/>
      <c r="P171" s="16"/>
      <c r="R171" s="17"/>
      <c r="T171" s="16"/>
      <c r="V171" s="17"/>
      <c r="AH171" s="20"/>
      <c r="AI171" s="20"/>
      <c r="AJ171" s="36"/>
      <c r="AM171" s="22"/>
      <c r="AO171" s="34"/>
    </row>
    <row r="172">
      <c r="D172" s="16"/>
      <c r="F172" s="17"/>
      <c r="H172" s="16"/>
      <c r="J172" s="17"/>
      <c r="L172" s="16"/>
      <c r="N172" s="17"/>
      <c r="P172" s="16"/>
      <c r="R172" s="17"/>
      <c r="T172" s="16"/>
      <c r="V172" s="17"/>
      <c r="AH172" s="20"/>
      <c r="AI172" s="20"/>
      <c r="AJ172" s="36"/>
      <c r="AM172" s="22"/>
      <c r="AO172" s="34"/>
    </row>
    <row r="173">
      <c r="D173" s="16"/>
      <c r="F173" s="17"/>
      <c r="H173" s="16"/>
      <c r="J173" s="17"/>
      <c r="L173" s="16"/>
      <c r="N173" s="17"/>
      <c r="P173" s="16"/>
      <c r="R173" s="17"/>
      <c r="T173" s="16"/>
      <c r="V173" s="17"/>
      <c r="AH173" s="20"/>
      <c r="AI173" s="20"/>
      <c r="AJ173" s="36"/>
      <c r="AM173" s="22"/>
      <c r="AO173" s="34"/>
    </row>
    <row r="174">
      <c r="D174" s="16"/>
      <c r="F174" s="17"/>
      <c r="H174" s="16"/>
      <c r="J174" s="17"/>
      <c r="L174" s="16"/>
      <c r="N174" s="17"/>
      <c r="P174" s="16"/>
      <c r="R174" s="17"/>
      <c r="T174" s="16"/>
      <c r="V174" s="17"/>
      <c r="AH174" s="20"/>
      <c r="AI174" s="20"/>
      <c r="AJ174" s="36"/>
      <c r="AM174" s="22"/>
      <c r="AO174" s="34"/>
    </row>
    <row r="175">
      <c r="D175" s="16"/>
      <c r="F175" s="17"/>
      <c r="H175" s="16"/>
      <c r="J175" s="17"/>
      <c r="L175" s="16"/>
      <c r="N175" s="17"/>
      <c r="P175" s="16"/>
      <c r="R175" s="17"/>
      <c r="T175" s="16"/>
      <c r="V175" s="17"/>
      <c r="AH175" s="20"/>
      <c r="AI175" s="20"/>
      <c r="AJ175" s="36"/>
      <c r="AM175" s="22"/>
      <c r="AO175" s="34"/>
    </row>
    <row r="176">
      <c r="D176" s="16"/>
      <c r="F176" s="17"/>
      <c r="H176" s="16"/>
      <c r="J176" s="17"/>
      <c r="L176" s="16"/>
      <c r="N176" s="17"/>
      <c r="P176" s="16"/>
      <c r="R176" s="17"/>
      <c r="T176" s="16"/>
      <c r="V176" s="17"/>
      <c r="AH176" s="20"/>
      <c r="AI176" s="20"/>
      <c r="AJ176" s="36"/>
      <c r="AM176" s="22"/>
      <c r="AO176" s="34"/>
    </row>
    <row r="177">
      <c r="D177" s="16"/>
      <c r="F177" s="17"/>
      <c r="H177" s="16"/>
      <c r="J177" s="17"/>
      <c r="L177" s="16"/>
      <c r="N177" s="17"/>
      <c r="P177" s="16"/>
      <c r="R177" s="17"/>
      <c r="T177" s="16"/>
      <c r="V177" s="17"/>
      <c r="AH177" s="20"/>
      <c r="AI177" s="20"/>
      <c r="AJ177" s="36"/>
      <c r="AM177" s="22"/>
      <c r="AO177" s="34"/>
    </row>
    <row r="178">
      <c r="D178" s="16"/>
      <c r="F178" s="17"/>
      <c r="H178" s="16"/>
      <c r="J178" s="17"/>
      <c r="L178" s="16"/>
      <c r="N178" s="17"/>
      <c r="P178" s="16"/>
      <c r="R178" s="17"/>
      <c r="T178" s="16"/>
      <c r="V178" s="17"/>
      <c r="AH178" s="20"/>
      <c r="AI178" s="20"/>
      <c r="AJ178" s="36"/>
      <c r="AM178" s="22"/>
      <c r="AO178" s="34"/>
    </row>
    <row r="179">
      <c r="D179" s="16"/>
      <c r="F179" s="17"/>
      <c r="H179" s="16"/>
      <c r="J179" s="17"/>
      <c r="L179" s="16"/>
      <c r="N179" s="17"/>
      <c r="P179" s="16"/>
      <c r="R179" s="17"/>
      <c r="T179" s="16"/>
      <c r="V179" s="17"/>
      <c r="AH179" s="20"/>
      <c r="AI179" s="20"/>
      <c r="AJ179" s="36"/>
      <c r="AM179" s="22"/>
      <c r="AO179" s="34"/>
    </row>
    <row r="180">
      <c r="D180" s="16"/>
      <c r="F180" s="17"/>
      <c r="H180" s="16"/>
      <c r="J180" s="17"/>
      <c r="L180" s="16"/>
      <c r="N180" s="17"/>
      <c r="P180" s="16"/>
      <c r="R180" s="17"/>
      <c r="T180" s="16"/>
      <c r="V180" s="17"/>
      <c r="AH180" s="20"/>
      <c r="AI180" s="20"/>
      <c r="AJ180" s="36"/>
      <c r="AM180" s="22"/>
      <c r="AO180" s="34"/>
    </row>
    <row r="181">
      <c r="D181" s="16"/>
      <c r="F181" s="17"/>
      <c r="H181" s="16"/>
      <c r="J181" s="17"/>
      <c r="L181" s="16"/>
      <c r="N181" s="17"/>
      <c r="P181" s="16"/>
      <c r="R181" s="17"/>
      <c r="T181" s="16"/>
      <c r="V181" s="17"/>
      <c r="AH181" s="20"/>
      <c r="AI181" s="20"/>
      <c r="AJ181" s="36"/>
      <c r="AM181" s="22"/>
      <c r="AO181" s="34"/>
    </row>
    <row r="182">
      <c r="D182" s="16"/>
      <c r="F182" s="17"/>
      <c r="H182" s="16"/>
      <c r="J182" s="17"/>
      <c r="L182" s="16"/>
      <c r="N182" s="17"/>
      <c r="P182" s="16"/>
      <c r="R182" s="17"/>
      <c r="T182" s="16"/>
      <c r="V182" s="17"/>
      <c r="AH182" s="20"/>
      <c r="AI182" s="20"/>
      <c r="AJ182" s="36"/>
      <c r="AM182" s="22"/>
      <c r="AO182" s="34"/>
    </row>
    <row r="183">
      <c r="D183" s="16"/>
      <c r="F183" s="17"/>
      <c r="H183" s="16"/>
      <c r="J183" s="17"/>
      <c r="L183" s="16"/>
      <c r="N183" s="17"/>
      <c r="P183" s="16"/>
      <c r="R183" s="17"/>
      <c r="T183" s="16"/>
      <c r="V183" s="17"/>
      <c r="AH183" s="20"/>
      <c r="AI183" s="20"/>
      <c r="AJ183" s="36"/>
      <c r="AM183" s="22"/>
      <c r="AO183" s="34"/>
    </row>
    <row r="184">
      <c r="D184" s="16"/>
      <c r="F184" s="17"/>
      <c r="H184" s="16"/>
      <c r="J184" s="17"/>
      <c r="L184" s="16"/>
      <c r="N184" s="17"/>
      <c r="P184" s="16"/>
      <c r="R184" s="17"/>
      <c r="T184" s="16"/>
      <c r="V184" s="17"/>
      <c r="AH184" s="20"/>
      <c r="AI184" s="20"/>
      <c r="AJ184" s="36"/>
      <c r="AM184" s="22"/>
      <c r="AO184" s="34"/>
    </row>
    <row r="185">
      <c r="D185" s="16"/>
      <c r="F185" s="17"/>
      <c r="H185" s="16"/>
      <c r="J185" s="17"/>
      <c r="L185" s="16"/>
      <c r="N185" s="17"/>
      <c r="P185" s="16"/>
      <c r="R185" s="17"/>
      <c r="T185" s="16"/>
      <c r="V185" s="17"/>
      <c r="AH185" s="20"/>
      <c r="AI185" s="20"/>
      <c r="AJ185" s="36"/>
      <c r="AM185" s="22"/>
      <c r="AO185" s="34"/>
    </row>
    <row r="186">
      <c r="D186" s="16"/>
      <c r="F186" s="17"/>
      <c r="H186" s="16"/>
      <c r="J186" s="17"/>
      <c r="L186" s="16"/>
      <c r="N186" s="17"/>
      <c r="P186" s="16"/>
      <c r="R186" s="17"/>
      <c r="T186" s="16"/>
      <c r="V186" s="17"/>
      <c r="AH186" s="20"/>
      <c r="AI186" s="20"/>
      <c r="AJ186" s="36"/>
      <c r="AM186" s="22"/>
      <c r="AO186" s="34"/>
    </row>
    <row r="187">
      <c r="D187" s="16"/>
      <c r="F187" s="17"/>
      <c r="H187" s="16"/>
      <c r="J187" s="17"/>
      <c r="L187" s="16"/>
      <c r="N187" s="17"/>
      <c r="P187" s="16"/>
      <c r="R187" s="17"/>
      <c r="T187" s="16"/>
      <c r="V187" s="17"/>
      <c r="AH187" s="20"/>
      <c r="AI187" s="20"/>
      <c r="AJ187" s="36"/>
      <c r="AM187" s="22"/>
      <c r="AO187" s="34"/>
    </row>
    <row r="188">
      <c r="D188" s="16"/>
      <c r="F188" s="17"/>
      <c r="H188" s="16"/>
      <c r="J188" s="17"/>
      <c r="L188" s="16"/>
      <c r="N188" s="17"/>
      <c r="P188" s="16"/>
      <c r="R188" s="17"/>
      <c r="T188" s="16"/>
      <c r="V188" s="17"/>
      <c r="AH188" s="20"/>
      <c r="AI188" s="20"/>
      <c r="AJ188" s="36"/>
      <c r="AM188" s="22"/>
      <c r="AO188" s="34"/>
    </row>
    <row r="189">
      <c r="D189" s="16"/>
      <c r="F189" s="17"/>
      <c r="H189" s="16"/>
      <c r="J189" s="17"/>
      <c r="L189" s="16"/>
      <c r="N189" s="17"/>
      <c r="P189" s="16"/>
      <c r="R189" s="17"/>
      <c r="T189" s="16"/>
      <c r="V189" s="17"/>
      <c r="AH189" s="20"/>
      <c r="AI189" s="20"/>
      <c r="AJ189" s="36"/>
      <c r="AM189" s="22"/>
      <c r="AO189" s="34"/>
    </row>
    <row r="190">
      <c r="D190" s="16"/>
      <c r="F190" s="17"/>
      <c r="H190" s="16"/>
      <c r="J190" s="17"/>
      <c r="L190" s="16"/>
      <c r="N190" s="17"/>
      <c r="P190" s="16"/>
      <c r="R190" s="17"/>
      <c r="T190" s="16"/>
      <c r="V190" s="17"/>
      <c r="AH190" s="20"/>
      <c r="AI190" s="20"/>
      <c r="AJ190" s="36"/>
      <c r="AM190" s="22"/>
      <c r="AO190" s="34"/>
    </row>
    <row r="191">
      <c r="D191" s="16"/>
      <c r="F191" s="17"/>
      <c r="H191" s="16"/>
      <c r="J191" s="17"/>
      <c r="L191" s="16"/>
      <c r="N191" s="17"/>
      <c r="P191" s="16"/>
      <c r="R191" s="17"/>
      <c r="T191" s="16"/>
      <c r="V191" s="17"/>
      <c r="AH191" s="20"/>
      <c r="AI191" s="20"/>
      <c r="AJ191" s="36"/>
      <c r="AM191" s="22"/>
      <c r="AO191" s="34"/>
    </row>
    <row r="192">
      <c r="D192" s="16"/>
      <c r="F192" s="17"/>
      <c r="H192" s="16"/>
      <c r="J192" s="17"/>
      <c r="L192" s="16"/>
      <c r="N192" s="17"/>
      <c r="P192" s="16"/>
      <c r="R192" s="17"/>
      <c r="T192" s="16"/>
      <c r="V192" s="17"/>
      <c r="AH192" s="20"/>
      <c r="AI192" s="20"/>
      <c r="AJ192" s="36"/>
      <c r="AM192" s="22"/>
      <c r="AO192" s="34"/>
    </row>
    <row r="193">
      <c r="D193" s="16"/>
      <c r="F193" s="17"/>
      <c r="H193" s="16"/>
      <c r="J193" s="17"/>
      <c r="L193" s="16"/>
      <c r="N193" s="17"/>
      <c r="P193" s="16"/>
      <c r="R193" s="17"/>
      <c r="T193" s="16"/>
      <c r="V193" s="17"/>
      <c r="AH193" s="20"/>
      <c r="AI193" s="20"/>
      <c r="AJ193" s="36"/>
      <c r="AM193" s="22"/>
      <c r="AO193" s="34"/>
    </row>
    <row r="194">
      <c r="D194" s="16"/>
      <c r="F194" s="17"/>
      <c r="H194" s="16"/>
      <c r="J194" s="17"/>
      <c r="L194" s="16"/>
      <c r="N194" s="17"/>
      <c r="P194" s="16"/>
      <c r="R194" s="17"/>
      <c r="T194" s="16"/>
      <c r="V194" s="17"/>
      <c r="AH194" s="20"/>
      <c r="AI194" s="20"/>
      <c r="AJ194" s="36"/>
      <c r="AM194" s="22"/>
      <c r="AO194" s="34"/>
    </row>
    <row r="195">
      <c r="D195" s="16"/>
      <c r="F195" s="17"/>
      <c r="H195" s="16"/>
      <c r="J195" s="17"/>
      <c r="L195" s="16"/>
      <c r="N195" s="17"/>
      <c r="P195" s="16"/>
      <c r="R195" s="17"/>
      <c r="T195" s="16"/>
      <c r="V195" s="17"/>
      <c r="AH195" s="20"/>
      <c r="AI195" s="20"/>
      <c r="AJ195" s="36"/>
      <c r="AM195" s="22"/>
      <c r="AO195" s="34"/>
    </row>
    <row r="196">
      <c r="D196" s="16"/>
      <c r="F196" s="17"/>
      <c r="H196" s="16"/>
      <c r="J196" s="17"/>
      <c r="L196" s="16"/>
      <c r="N196" s="17"/>
      <c r="P196" s="16"/>
      <c r="R196" s="17"/>
      <c r="T196" s="16"/>
      <c r="V196" s="17"/>
      <c r="AH196" s="20"/>
      <c r="AI196" s="20"/>
      <c r="AJ196" s="36"/>
      <c r="AM196" s="22"/>
      <c r="AO196" s="34"/>
    </row>
    <row r="197">
      <c r="D197" s="16"/>
      <c r="F197" s="17"/>
      <c r="H197" s="16"/>
      <c r="J197" s="17"/>
      <c r="L197" s="16"/>
      <c r="N197" s="17"/>
      <c r="P197" s="16"/>
      <c r="R197" s="17"/>
      <c r="T197" s="16"/>
      <c r="V197" s="17"/>
      <c r="AH197" s="20"/>
      <c r="AI197" s="20"/>
      <c r="AJ197" s="36"/>
      <c r="AM197" s="22"/>
      <c r="AO197" s="34"/>
    </row>
    <row r="198">
      <c r="D198" s="16"/>
      <c r="F198" s="17"/>
      <c r="H198" s="16"/>
      <c r="J198" s="17"/>
      <c r="L198" s="16"/>
      <c r="N198" s="17"/>
      <c r="P198" s="16"/>
      <c r="R198" s="17"/>
      <c r="T198" s="16"/>
      <c r="V198" s="17"/>
      <c r="AH198" s="20"/>
      <c r="AI198" s="20"/>
      <c r="AJ198" s="36"/>
      <c r="AM198" s="22"/>
      <c r="AO198" s="34"/>
    </row>
    <row r="199">
      <c r="D199" s="16"/>
      <c r="F199" s="17"/>
      <c r="H199" s="16"/>
      <c r="J199" s="17"/>
      <c r="L199" s="16"/>
      <c r="N199" s="17"/>
      <c r="P199" s="16"/>
      <c r="R199" s="17"/>
      <c r="T199" s="16"/>
      <c r="V199" s="17"/>
      <c r="AH199" s="20"/>
      <c r="AI199" s="20"/>
      <c r="AJ199" s="36"/>
      <c r="AM199" s="22"/>
      <c r="AO199" s="34"/>
    </row>
    <row r="200">
      <c r="D200" s="16"/>
      <c r="F200" s="17"/>
      <c r="H200" s="16"/>
      <c r="J200" s="17"/>
      <c r="L200" s="16"/>
      <c r="N200" s="17"/>
      <c r="P200" s="16"/>
      <c r="R200" s="17"/>
      <c r="T200" s="16"/>
      <c r="V200" s="17"/>
      <c r="AH200" s="20"/>
      <c r="AI200" s="20"/>
      <c r="AJ200" s="36"/>
      <c r="AM200" s="22"/>
      <c r="AO200" s="34"/>
    </row>
    <row r="201">
      <c r="D201" s="16"/>
      <c r="F201" s="17"/>
      <c r="H201" s="16"/>
      <c r="J201" s="17"/>
      <c r="L201" s="16"/>
      <c r="N201" s="17"/>
      <c r="P201" s="16"/>
      <c r="R201" s="17"/>
      <c r="T201" s="16"/>
      <c r="V201" s="17"/>
      <c r="AH201" s="20"/>
      <c r="AI201" s="20"/>
      <c r="AJ201" s="36"/>
      <c r="AM201" s="22"/>
      <c r="AO201" s="34"/>
    </row>
    <row r="202">
      <c r="D202" s="16"/>
      <c r="F202" s="17"/>
      <c r="H202" s="16"/>
      <c r="J202" s="17"/>
      <c r="L202" s="16"/>
      <c r="N202" s="17"/>
      <c r="P202" s="16"/>
      <c r="R202" s="17"/>
      <c r="T202" s="16"/>
      <c r="V202" s="17"/>
      <c r="AH202" s="20"/>
      <c r="AI202" s="20"/>
      <c r="AJ202" s="36"/>
      <c r="AM202" s="22"/>
      <c r="AO202" s="34"/>
    </row>
    <row r="203">
      <c r="D203" s="16"/>
      <c r="F203" s="17"/>
      <c r="H203" s="16"/>
      <c r="J203" s="17"/>
      <c r="L203" s="16"/>
      <c r="N203" s="17"/>
      <c r="P203" s="16"/>
      <c r="R203" s="17"/>
      <c r="T203" s="16"/>
      <c r="V203" s="17"/>
      <c r="AH203" s="20"/>
      <c r="AI203" s="20"/>
      <c r="AJ203" s="36"/>
      <c r="AM203" s="22"/>
      <c r="AO203" s="34"/>
    </row>
    <row r="204">
      <c r="D204" s="16"/>
      <c r="F204" s="17"/>
      <c r="H204" s="16"/>
      <c r="J204" s="17"/>
      <c r="L204" s="16"/>
      <c r="N204" s="17"/>
      <c r="P204" s="16"/>
      <c r="R204" s="17"/>
      <c r="T204" s="16"/>
      <c r="V204" s="17"/>
      <c r="AH204" s="20"/>
      <c r="AI204" s="20"/>
      <c r="AJ204" s="36"/>
      <c r="AM204" s="22"/>
      <c r="AO204" s="34"/>
    </row>
    <row r="205">
      <c r="D205" s="16"/>
      <c r="F205" s="17"/>
      <c r="H205" s="16"/>
      <c r="J205" s="17"/>
      <c r="L205" s="16"/>
      <c r="N205" s="17"/>
      <c r="P205" s="16"/>
      <c r="R205" s="17"/>
      <c r="T205" s="16"/>
      <c r="V205" s="17"/>
      <c r="AH205" s="20"/>
      <c r="AI205" s="20"/>
      <c r="AJ205" s="36"/>
      <c r="AM205" s="22"/>
      <c r="AO205" s="34"/>
    </row>
    <row r="206">
      <c r="D206" s="16"/>
      <c r="F206" s="17"/>
      <c r="H206" s="16"/>
      <c r="J206" s="17"/>
      <c r="L206" s="16"/>
      <c r="N206" s="17"/>
      <c r="P206" s="16"/>
      <c r="R206" s="17"/>
      <c r="T206" s="16"/>
      <c r="V206" s="17"/>
      <c r="AH206" s="20"/>
      <c r="AI206" s="20"/>
      <c r="AJ206" s="36"/>
      <c r="AM206" s="22"/>
      <c r="AO206" s="34"/>
    </row>
    <row r="207">
      <c r="D207" s="16"/>
      <c r="F207" s="17"/>
      <c r="H207" s="16"/>
      <c r="J207" s="17"/>
      <c r="L207" s="16"/>
      <c r="N207" s="17"/>
      <c r="P207" s="16"/>
      <c r="R207" s="17"/>
      <c r="T207" s="16"/>
      <c r="V207" s="17"/>
      <c r="AH207" s="20"/>
      <c r="AI207" s="20"/>
      <c r="AJ207" s="36"/>
      <c r="AM207" s="22"/>
      <c r="AO207" s="34"/>
    </row>
    <row r="208">
      <c r="D208" s="16"/>
      <c r="F208" s="17"/>
      <c r="H208" s="16"/>
      <c r="J208" s="17"/>
      <c r="L208" s="16"/>
      <c r="N208" s="17"/>
      <c r="P208" s="16"/>
      <c r="R208" s="17"/>
      <c r="T208" s="16"/>
      <c r="V208" s="17"/>
      <c r="AH208" s="20"/>
      <c r="AI208" s="20"/>
      <c r="AJ208" s="36"/>
      <c r="AM208" s="22"/>
      <c r="AO208" s="34"/>
    </row>
    <row r="209">
      <c r="D209" s="16"/>
      <c r="F209" s="17"/>
      <c r="H209" s="16"/>
      <c r="J209" s="17"/>
      <c r="L209" s="16"/>
      <c r="N209" s="17"/>
      <c r="P209" s="16"/>
      <c r="R209" s="17"/>
      <c r="T209" s="16"/>
      <c r="V209" s="17"/>
      <c r="AH209" s="20"/>
      <c r="AI209" s="20"/>
      <c r="AJ209" s="36"/>
      <c r="AM209" s="22"/>
      <c r="AO209" s="34"/>
    </row>
    <row r="210">
      <c r="D210" s="16"/>
      <c r="F210" s="17"/>
      <c r="H210" s="16"/>
      <c r="J210" s="17"/>
      <c r="L210" s="16"/>
      <c r="N210" s="17"/>
      <c r="P210" s="16"/>
      <c r="R210" s="17"/>
      <c r="T210" s="16"/>
      <c r="V210" s="17"/>
      <c r="AH210" s="20"/>
      <c r="AI210" s="20"/>
      <c r="AJ210" s="36"/>
      <c r="AM210" s="22"/>
      <c r="AO210" s="34"/>
    </row>
    <row r="211">
      <c r="D211" s="16"/>
      <c r="F211" s="17"/>
      <c r="H211" s="16"/>
      <c r="J211" s="17"/>
      <c r="L211" s="16"/>
      <c r="N211" s="17"/>
      <c r="P211" s="16"/>
      <c r="R211" s="17"/>
      <c r="T211" s="16"/>
      <c r="V211" s="17"/>
      <c r="AH211" s="20"/>
      <c r="AI211" s="20"/>
      <c r="AJ211" s="36"/>
      <c r="AM211" s="22"/>
      <c r="AO211" s="34"/>
    </row>
    <row r="212">
      <c r="D212" s="16"/>
      <c r="F212" s="17"/>
      <c r="H212" s="16"/>
      <c r="J212" s="17"/>
      <c r="L212" s="16"/>
      <c r="N212" s="17"/>
      <c r="P212" s="16"/>
      <c r="R212" s="17"/>
      <c r="T212" s="16"/>
      <c r="V212" s="17"/>
      <c r="AH212" s="20"/>
      <c r="AI212" s="20"/>
      <c r="AJ212" s="36"/>
      <c r="AM212" s="22"/>
      <c r="AO212" s="34"/>
    </row>
    <row r="213">
      <c r="D213" s="16"/>
      <c r="F213" s="17"/>
      <c r="H213" s="16"/>
      <c r="J213" s="17"/>
      <c r="L213" s="16"/>
      <c r="N213" s="17"/>
      <c r="P213" s="16"/>
      <c r="R213" s="17"/>
      <c r="T213" s="16"/>
      <c r="V213" s="17"/>
      <c r="AH213" s="20"/>
      <c r="AI213" s="20"/>
      <c r="AJ213" s="36"/>
      <c r="AM213" s="22"/>
      <c r="AO213" s="34"/>
    </row>
    <row r="214">
      <c r="D214" s="16"/>
      <c r="F214" s="17"/>
      <c r="H214" s="16"/>
      <c r="J214" s="17"/>
      <c r="L214" s="16"/>
      <c r="N214" s="17"/>
      <c r="P214" s="16"/>
      <c r="R214" s="17"/>
      <c r="T214" s="16"/>
      <c r="V214" s="17"/>
      <c r="AH214" s="20"/>
      <c r="AI214" s="20"/>
      <c r="AJ214" s="36"/>
      <c r="AM214" s="22"/>
      <c r="AO214" s="34"/>
    </row>
    <row r="215">
      <c r="D215" s="16"/>
      <c r="F215" s="17"/>
      <c r="H215" s="16"/>
      <c r="J215" s="17"/>
      <c r="L215" s="16"/>
      <c r="N215" s="17"/>
      <c r="P215" s="16"/>
      <c r="R215" s="17"/>
      <c r="T215" s="16"/>
      <c r="V215" s="17"/>
      <c r="AH215" s="20"/>
      <c r="AI215" s="20"/>
      <c r="AJ215" s="36"/>
      <c r="AM215" s="22"/>
      <c r="AO215" s="34"/>
    </row>
    <row r="216">
      <c r="D216" s="16"/>
      <c r="F216" s="17"/>
      <c r="H216" s="16"/>
      <c r="J216" s="17"/>
      <c r="L216" s="16"/>
      <c r="N216" s="17"/>
      <c r="P216" s="16"/>
      <c r="R216" s="17"/>
      <c r="T216" s="16"/>
      <c r="V216" s="17"/>
      <c r="AH216" s="20"/>
      <c r="AI216" s="20"/>
      <c r="AJ216" s="36"/>
      <c r="AM216" s="22"/>
      <c r="AO216" s="34"/>
    </row>
    <row r="217">
      <c r="D217" s="16"/>
      <c r="F217" s="17"/>
      <c r="H217" s="16"/>
      <c r="J217" s="17"/>
      <c r="L217" s="16"/>
      <c r="N217" s="17"/>
      <c r="P217" s="16"/>
      <c r="R217" s="17"/>
      <c r="T217" s="16"/>
      <c r="V217" s="17"/>
      <c r="AH217" s="20"/>
      <c r="AI217" s="20"/>
      <c r="AJ217" s="36"/>
      <c r="AM217" s="22"/>
      <c r="AO217" s="34"/>
    </row>
    <row r="218">
      <c r="D218" s="16"/>
      <c r="F218" s="17"/>
      <c r="H218" s="16"/>
      <c r="J218" s="17"/>
      <c r="L218" s="16"/>
      <c r="N218" s="17"/>
      <c r="P218" s="16"/>
      <c r="R218" s="17"/>
      <c r="T218" s="16"/>
      <c r="V218" s="17"/>
      <c r="AH218" s="20"/>
      <c r="AI218" s="20"/>
      <c r="AJ218" s="36"/>
      <c r="AM218" s="22"/>
      <c r="AO218" s="34"/>
    </row>
    <row r="219">
      <c r="D219" s="16"/>
      <c r="F219" s="17"/>
      <c r="H219" s="16"/>
      <c r="J219" s="17"/>
      <c r="L219" s="16"/>
      <c r="N219" s="17"/>
      <c r="P219" s="16"/>
      <c r="R219" s="17"/>
      <c r="T219" s="16"/>
      <c r="V219" s="17"/>
      <c r="AH219" s="20"/>
      <c r="AI219" s="20"/>
      <c r="AJ219" s="36"/>
      <c r="AM219" s="22"/>
      <c r="AO219" s="34"/>
    </row>
    <row r="220">
      <c r="D220" s="16"/>
      <c r="F220" s="17"/>
      <c r="H220" s="16"/>
      <c r="J220" s="17"/>
      <c r="L220" s="16"/>
      <c r="N220" s="17"/>
      <c r="P220" s="16"/>
      <c r="R220" s="17"/>
      <c r="T220" s="16"/>
      <c r="V220" s="17"/>
      <c r="AH220" s="20"/>
      <c r="AI220" s="20"/>
      <c r="AJ220" s="36"/>
      <c r="AM220" s="22"/>
      <c r="AO220" s="34"/>
    </row>
    <row r="221">
      <c r="D221" s="16"/>
      <c r="F221" s="17"/>
      <c r="H221" s="16"/>
      <c r="J221" s="17"/>
      <c r="L221" s="16"/>
      <c r="N221" s="17"/>
      <c r="P221" s="16"/>
      <c r="R221" s="17"/>
      <c r="T221" s="16"/>
      <c r="V221" s="17"/>
      <c r="AH221" s="20"/>
      <c r="AI221" s="20"/>
      <c r="AJ221" s="36"/>
      <c r="AM221" s="22"/>
      <c r="AO221" s="34"/>
    </row>
    <row r="222">
      <c r="D222" s="16"/>
      <c r="F222" s="17"/>
      <c r="H222" s="16"/>
      <c r="J222" s="17"/>
      <c r="L222" s="16"/>
      <c r="N222" s="17"/>
      <c r="P222" s="16"/>
      <c r="R222" s="17"/>
      <c r="T222" s="16"/>
      <c r="V222" s="17"/>
      <c r="AH222" s="20"/>
      <c r="AI222" s="20"/>
      <c r="AJ222" s="36"/>
      <c r="AM222" s="22"/>
      <c r="AO222" s="34"/>
    </row>
    <row r="223">
      <c r="D223" s="16"/>
      <c r="F223" s="17"/>
      <c r="H223" s="16"/>
      <c r="J223" s="17"/>
      <c r="L223" s="16"/>
      <c r="N223" s="17"/>
      <c r="P223" s="16"/>
      <c r="R223" s="17"/>
      <c r="T223" s="16"/>
      <c r="V223" s="17"/>
      <c r="AH223" s="20"/>
      <c r="AI223" s="20"/>
      <c r="AJ223" s="36"/>
      <c r="AM223" s="22"/>
      <c r="AO223" s="34"/>
    </row>
    <row r="224">
      <c r="D224" s="16"/>
      <c r="F224" s="17"/>
      <c r="H224" s="16"/>
      <c r="J224" s="17"/>
      <c r="L224" s="16"/>
      <c r="N224" s="17"/>
      <c r="P224" s="16"/>
      <c r="R224" s="17"/>
      <c r="T224" s="16"/>
      <c r="V224" s="17"/>
      <c r="AH224" s="20"/>
      <c r="AI224" s="20"/>
      <c r="AJ224" s="36"/>
      <c r="AM224" s="22"/>
      <c r="AO224" s="34"/>
    </row>
    <row r="225">
      <c r="D225" s="16"/>
      <c r="F225" s="17"/>
      <c r="H225" s="16"/>
      <c r="J225" s="17"/>
      <c r="L225" s="16"/>
      <c r="N225" s="17"/>
      <c r="P225" s="16"/>
      <c r="R225" s="17"/>
      <c r="T225" s="16"/>
      <c r="V225" s="17"/>
      <c r="AH225" s="20"/>
      <c r="AI225" s="20"/>
      <c r="AJ225" s="36"/>
      <c r="AM225" s="22"/>
      <c r="AO225" s="34"/>
    </row>
    <row r="226">
      <c r="D226" s="16"/>
      <c r="F226" s="17"/>
      <c r="H226" s="16"/>
      <c r="J226" s="17"/>
      <c r="L226" s="16"/>
      <c r="N226" s="17"/>
      <c r="P226" s="16"/>
      <c r="R226" s="17"/>
      <c r="T226" s="16"/>
      <c r="V226" s="17"/>
      <c r="AH226" s="20"/>
      <c r="AI226" s="20"/>
      <c r="AJ226" s="36"/>
      <c r="AM226" s="22"/>
      <c r="AO226" s="34"/>
    </row>
    <row r="227">
      <c r="D227" s="16"/>
      <c r="F227" s="17"/>
      <c r="H227" s="16"/>
      <c r="J227" s="17"/>
      <c r="L227" s="16"/>
      <c r="N227" s="17"/>
      <c r="P227" s="16"/>
      <c r="R227" s="17"/>
      <c r="T227" s="16"/>
      <c r="V227" s="17"/>
      <c r="AH227" s="20"/>
      <c r="AI227" s="20"/>
      <c r="AJ227" s="36"/>
      <c r="AM227" s="22"/>
      <c r="AO227" s="34"/>
    </row>
    <row r="228">
      <c r="D228" s="16"/>
      <c r="F228" s="17"/>
      <c r="H228" s="16"/>
      <c r="J228" s="17"/>
      <c r="L228" s="16"/>
      <c r="N228" s="17"/>
      <c r="P228" s="16"/>
      <c r="R228" s="17"/>
      <c r="T228" s="16"/>
      <c r="V228" s="17"/>
      <c r="AH228" s="20"/>
      <c r="AI228" s="20"/>
      <c r="AJ228" s="36"/>
      <c r="AM228" s="22"/>
      <c r="AO228" s="34"/>
    </row>
    <row r="229">
      <c r="D229" s="16"/>
      <c r="F229" s="17"/>
      <c r="H229" s="16"/>
      <c r="J229" s="17"/>
      <c r="L229" s="16"/>
      <c r="N229" s="17"/>
      <c r="P229" s="16"/>
      <c r="R229" s="17"/>
      <c r="T229" s="16"/>
      <c r="V229" s="17"/>
      <c r="AH229" s="20"/>
      <c r="AI229" s="20"/>
      <c r="AJ229" s="36"/>
      <c r="AM229" s="22"/>
      <c r="AO229" s="34"/>
    </row>
    <row r="230">
      <c r="D230" s="16"/>
      <c r="F230" s="17"/>
      <c r="H230" s="16"/>
      <c r="J230" s="17"/>
      <c r="L230" s="16"/>
      <c r="N230" s="17"/>
      <c r="P230" s="16"/>
      <c r="R230" s="17"/>
      <c r="T230" s="16"/>
      <c r="V230" s="17"/>
      <c r="AH230" s="20"/>
      <c r="AI230" s="20"/>
      <c r="AJ230" s="36"/>
      <c r="AM230" s="22"/>
      <c r="AO230" s="34"/>
    </row>
    <row r="231">
      <c r="D231" s="16"/>
      <c r="F231" s="17"/>
      <c r="H231" s="16"/>
      <c r="J231" s="17"/>
      <c r="L231" s="16"/>
      <c r="N231" s="17"/>
      <c r="P231" s="16"/>
      <c r="R231" s="17"/>
      <c r="T231" s="16"/>
      <c r="V231" s="17"/>
      <c r="AH231" s="20"/>
      <c r="AI231" s="20"/>
      <c r="AJ231" s="36"/>
      <c r="AM231" s="22"/>
      <c r="AO231" s="34"/>
    </row>
    <row r="232">
      <c r="D232" s="16"/>
      <c r="F232" s="17"/>
      <c r="H232" s="16"/>
      <c r="J232" s="17"/>
      <c r="L232" s="16"/>
      <c r="N232" s="17"/>
      <c r="P232" s="16"/>
      <c r="R232" s="17"/>
      <c r="T232" s="16"/>
      <c r="V232" s="17"/>
      <c r="AH232" s="20"/>
      <c r="AI232" s="20"/>
      <c r="AJ232" s="36"/>
      <c r="AM232" s="22"/>
      <c r="AO232" s="34"/>
    </row>
    <row r="233">
      <c r="D233" s="16"/>
      <c r="F233" s="17"/>
      <c r="H233" s="16"/>
      <c r="J233" s="17"/>
      <c r="L233" s="16"/>
      <c r="N233" s="17"/>
      <c r="P233" s="16"/>
      <c r="R233" s="17"/>
      <c r="T233" s="16"/>
      <c r="V233" s="17"/>
      <c r="AH233" s="20"/>
      <c r="AI233" s="20"/>
      <c r="AJ233" s="36"/>
      <c r="AM233" s="22"/>
      <c r="AO233" s="34"/>
    </row>
    <row r="234">
      <c r="D234" s="16"/>
      <c r="F234" s="17"/>
      <c r="H234" s="16"/>
      <c r="J234" s="17"/>
      <c r="L234" s="16"/>
      <c r="N234" s="17"/>
      <c r="P234" s="16"/>
      <c r="R234" s="17"/>
      <c r="T234" s="16"/>
      <c r="V234" s="17"/>
      <c r="AH234" s="20"/>
      <c r="AI234" s="20"/>
      <c r="AJ234" s="36"/>
      <c r="AM234" s="22"/>
      <c r="AO234" s="34"/>
    </row>
    <row r="235">
      <c r="D235" s="16"/>
      <c r="F235" s="17"/>
      <c r="H235" s="16"/>
      <c r="J235" s="17"/>
      <c r="L235" s="16"/>
      <c r="N235" s="17"/>
      <c r="P235" s="16"/>
      <c r="R235" s="17"/>
      <c r="T235" s="16"/>
      <c r="V235" s="17"/>
      <c r="AH235" s="20"/>
      <c r="AI235" s="20"/>
      <c r="AJ235" s="36"/>
      <c r="AM235" s="22"/>
      <c r="AO235" s="34"/>
    </row>
    <row r="236">
      <c r="D236" s="16"/>
      <c r="F236" s="17"/>
      <c r="H236" s="16"/>
      <c r="J236" s="17"/>
      <c r="L236" s="16"/>
      <c r="N236" s="17"/>
      <c r="P236" s="16"/>
      <c r="R236" s="17"/>
      <c r="T236" s="16"/>
      <c r="V236" s="17"/>
      <c r="AH236" s="20"/>
      <c r="AI236" s="20"/>
      <c r="AJ236" s="36"/>
      <c r="AM236" s="22"/>
      <c r="AO236" s="34"/>
    </row>
    <row r="237">
      <c r="D237" s="16"/>
      <c r="F237" s="17"/>
      <c r="H237" s="16"/>
      <c r="J237" s="17"/>
      <c r="L237" s="16"/>
      <c r="N237" s="17"/>
      <c r="P237" s="16"/>
      <c r="R237" s="17"/>
      <c r="T237" s="16"/>
      <c r="V237" s="17"/>
      <c r="AH237" s="20"/>
      <c r="AI237" s="20"/>
      <c r="AJ237" s="36"/>
      <c r="AM237" s="22"/>
      <c r="AO237" s="34"/>
    </row>
    <row r="238">
      <c r="D238" s="16"/>
      <c r="F238" s="17"/>
      <c r="H238" s="16"/>
      <c r="J238" s="17"/>
      <c r="L238" s="16"/>
      <c r="N238" s="17"/>
      <c r="P238" s="16"/>
      <c r="R238" s="17"/>
      <c r="T238" s="16"/>
      <c r="V238" s="17"/>
      <c r="AH238" s="20"/>
      <c r="AI238" s="20"/>
      <c r="AJ238" s="36"/>
      <c r="AM238" s="22"/>
      <c r="AO238" s="34"/>
    </row>
    <row r="239">
      <c r="D239" s="16"/>
      <c r="F239" s="17"/>
      <c r="H239" s="16"/>
      <c r="J239" s="17"/>
      <c r="L239" s="16"/>
      <c r="N239" s="17"/>
      <c r="P239" s="16"/>
      <c r="R239" s="17"/>
      <c r="T239" s="16"/>
      <c r="V239" s="17"/>
      <c r="AH239" s="20"/>
      <c r="AI239" s="20"/>
      <c r="AJ239" s="36"/>
      <c r="AM239" s="22"/>
      <c r="AO239" s="34"/>
    </row>
    <row r="240">
      <c r="D240" s="16"/>
      <c r="F240" s="17"/>
      <c r="H240" s="16"/>
      <c r="J240" s="17"/>
      <c r="L240" s="16"/>
      <c r="N240" s="17"/>
      <c r="P240" s="16"/>
      <c r="R240" s="17"/>
      <c r="T240" s="16"/>
      <c r="V240" s="17"/>
      <c r="AH240" s="20"/>
      <c r="AI240" s="20"/>
      <c r="AJ240" s="36"/>
      <c r="AM240" s="22"/>
      <c r="AO240" s="34"/>
    </row>
    <row r="241">
      <c r="D241" s="16"/>
      <c r="F241" s="17"/>
      <c r="H241" s="16"/>
      <c r="J241" s="17"/>
      <c r="L241" s="16"/>
      <c r="N241" s="17"/>
      <c r="P241" s="16"/>
      <c r="R241" s="17"/>
      <c r="T241" s="16"/>
      <c r="V241" s="17"/>
      <c r="AH241" s="20"/>
      <c r="AI241" s="20"/>
      <c r="AJ241" s="36"/>
      <c r="AM241" s="22"/>
      <c r="AO241" s="34"/>
    </row>
    <row r="242">
      <c r="D242" s="16"/>
      <c r="F242" s="17"/>
      <c r="H242" s="16"/>
      <c r="J242" s="17"/>
      <c r="L242" s="16"/>
      <c r="N242" s="17"/>
      <c r="P242" s="16"/>
      <c r="R242" s="17"/>
      <c r="T242" s="16"/>
      <c r="V242" s="17"/>
      <c r="AH242" s="20"/>
      <c r="AI242" s="20"/>
      <c r="AJ242" s="36"/>
      <c r="AM242" s="22"/>
      <c r="AO242" s="34"/>
    </row>
    <row r="243">
      <c r="D243" s="16"/>
      <c r="F243" s="17"/>
      <c r="H243" s="16"/>
      <c r="J243" s="17"/>
      <c r="L243" s="16"/>
      <c r="N243" s="17"/>
      <c r="P243" s="16"/>
      <c r="R243" s="17"/>
      <c r="T243" s="16"/>
      <c r="V243" s="17"/>
      <c r="AH243" s="20"/>
      <c r="AI243" s="20"/>
      <c r="AJ243" s="36"/>
      <c r="AM243" s="22"/>
      <c r="AO243" s="34"/>
    </row>
    <row r="244">
      <c r="D244" s="16"/>
      <c r="F244" s="17"/>
      <c r="H244" s="16"/>
      <c r="J244" s="17"/>
      <c r="L244" s="16"/>
      <c r="N244" s="17"/>
      <c r="P244" s="16"/>
      <c r="R244" s="17"/>
      <c r="T244" s="16"/>
      <c r="V244" s="17"/>
      <c r="AH244" s="20"/>
      <c r="AI244" s="20"/>
      <c r="AJ244" s="36"/>
      <c r="AM244" s="22"/>
      <c r="AO244" s="34"/>
    </row>
    <row r="245">
      <c r="D245" s="16"/>
      <c r="F245" s="17"/>
      <c r="H245" s="16"/>
      <c r="J245" s="17"/>
      <c r="L245" s="16"/>
      <c r="N245" s="17"/>
      <c r="P245" s="16"/>
      <c r="R245" s="17"/>
      <c r="T245" s="16"/>
      <c r="V245" s="17"/>
      <c r="AH245" s="20"/>
      <c r="AI245" s="20"/>
      <c r="AJ245" s="36"/>
      <c r="AM245" s="22"/>
      <c r="AO245" s="34"/>
    </row>
    <row r="246">
      <c r="D246" s="16"/>
      <c r="F246" s="17"/>
      <c r="H246" s="16"/>
      <c r="J246" s="17"/>
      <c r="L246" s="16"/>
      <c r="N246" s="17"/>
      <c r="P246" s="16"/>
      <c r="R246" s="17"/>
      <c r="T246" s="16"/>
      <c r="V246" s="17"/>
      <c r="AH246" s="20"/>
      <c r="AI246" s="20"/>
      <c r="AJ246" s="36"/>
      <c r="AM246" s="22"/>
      <c r="AO246" s="34"/>
    </row>
    <row r="247">
      <c r="D247" s="16"/>
      <c r="F247" s="17"/>
      <c r="H247" s="16"/>
      <c r="J247" s="17"/>
      <c r="L247" s="16"/>
      <c r="N247" s="17"/>
      <c r="P247" s="16"/>
      <c r="R247" s="17"/>
      <c r="T247" s="16"/>
      <c r="V247" s="17"/>
      <c r="AH247" s="20"/>
      <c r="AI247" s="20"/>
      <c r="AJ247" s="36"/>
      <c r="AM247" s="22"/>
      <c r="AO247" s="34"/>
    </row>
    <row r="248">
      <c r="D248" s="16"/>
      <c r="F248" s="17"/>
      <c r="H248" s="16"/>
      <c r="J248" s="17"/>
      <c r="L248" s="16"/>
      <c r="N248" s="17"/>
      <c r="P248" s="16"/>
      <c r="R248" s="17"/>
      <c r="T248" s="16"/>
      <c r="V248" s="17"/>
      <c r="AH248" s="20"/>
      <c r="AI248" s="20"/>
      <c r="AJ248" s="36"/>
      <c r="AM248" s="22"/>
      <c r="AO248" s="34"/>
    </row>
    <row r="249">
      <c r="D249" s="16"/>
      <c r="F249" s="17"/>
      <c r="H249" s="16"/>
      <c r="J249" s="17"/>
      <c r="L249" s="16"/>
      <c r="N249" s="17"/>
      <c r="P249" s="16"/>
      <c r="R249" s="17"/>
      <c r="T249" s="16"/>
      <c r="V249" s="17"/>
      <c r="AH249" s="20"/>
      <c r="AI249" s="20"/>
      <c r="AJ249" s="36"/>
      <c r="AM249" s="22"/>
      <c r="AO249" s="34"/>
    </row>
    <row r="250">
      <c r="D250" s="16"/>
      <c r="F250" s="17"/>
      <c r="H250" s="16"/>
      <c r="J250" s="17"/>
      <c r="L250" s="16"/>
      <c r="N250" s="17"/>
      <c r="P250" s="16"/>
      <c r="R250" s="17"/>
      <c r="T250" s="16"/>
      <c r="V250" s="17"/>
      <c r="AH250" s="20"/>
      <c r="AI250" s="20"/>
      <c r="AJ250" s="36"/>
      <c r="AM250" s="22"/>
      <c r="AO250" s="34"/>
    </row>
    <row r="251">
      <c r="D251" s="16"/>
      <c r="F251" s="17"/>
      <c r="H251" s="16"/>
      <c r="J251" s="17"/>
      <c r="L251" s="16"/>
      <c r="N251" s="17"/>
      <c r="P251" s="16"/>
      <c r="R251" s="17"/>
      <c r="T251" s="16"/>
      <c r="V251" s="17"/>
      <c r="AH251" s="20"/>
      <c r="AI251" s="20"/>
      <c r="AJ251" s="36"/>
      <c r="AM251" s="22"/>
      <c r="AO251" s="34"/>
    </row>
    <row r="252">
      <c r="D252" s="16"/>
      <c r="F252" s="17"/>
      <c r="H252" s="16"/>
      <c r="J252" s="17"/>
      <c r="L252" s="16"/>
      <c r="N252" s="17"/>
      <c r="P252" s="16"/>
      <c r="R252" s="17"/>
      <c r="T252" s="16"/>
      <c r="V252" s="17"/>
      <c r="AH252" s="20"/>
      <c r="AI252" s="20"/>
      <c r="AJ252" s="36"/>
      <c r="AM252" s="22"/>
      <c r="AO252" s="34"/>
    </row>
    <row r="253">
      <c r="D253" s="16"/>
      <c r="F253" s="17"/>
      <c r="H253" s="16"/>
      <c r="J253" s="17"/>
      <c r="L253" s="16"/>
      <c r="N253" s="17"/>
      <c r="P253" s="16"/>
      <c r="R253" s="17"/>
      <c r="T253" s="16"/>
      <c r="V253" s="17"/>
      <c r="AH253" s="20"/>
      <c r="AI253" s="20"/>
      <c r="AJ253" s="36"/>
      <c r="AM253" s="22"/>
      <c r="AO253" s="34"/>
    </row>
    <row r="254">
      <c r="D254" s="16"/>
      <c r="F254" s="17"/>
      <c r="H254" s="16"/>
      <c r="J254" s="17"/>
      <c r="L254" s="16"/>
      <c r="N254" s="17"/>
      <c r="P254" s="16"/>
      <c r="R254" s="17"/>
      <c r="T254" s="16"/>
      <c r="V254" s="17"/>
      <c r="AH254" s="20"/>
      <c r="AI254" s="20"/>
      <c r="AJ254" s="36"/>
      <c r="AM254" s="22"/>
      <c r="AO254" s="34"/>
    </row>
    <row r="255">
      <c r="D255" s="16"/>
      <c r="F255" s="17"/>
      <c r="H255" s="16"/>
      <c r="J255" s="17"/>
      <c r="L255" s="16"/>
      <c r="N255" s="17"/>
      <c r="P255" s="16"/>
      <c r="R255" s="17"/>
      <c r="T255" s="16"/>
      <c r="V255" s="17"/>
      <c r="AH255" s="20"/>
      <c r="AI255" s="20"/>
      <c r="AJ255" s="36"/>
      <c r="AM255" s="22"/>
      <c r="AO255" s="34"/>
    </row>
    <row r="256">
      <c r="D256" s="16"/>
      <c r="F256" s="17"/>
      <c r="H256" s="16"/>
      <c r="J256" s="17"/>
      <c r="L256" s="16"/>
      <c r="N256" s="17"/>
      <c r="P256" s="16"/>
      <c r="R256" s="17"/>
      <c r="T256" s="16"/>
      <c r="V256" s="17"/>
      <c r="AH256" s="20"/>
      <c r="AI256" s="20"/>
      <c r="AJ256" s="36"/>
      <c r="AM256" s="22"/>
      <c r="AO256" s="34"/>
    </row>
    <row r="257">
      <c r="D257" s="16"/>
      <c r="F257" s="17"/>
      <c r="H257" s="16"/>
      <c r="J257" s="17"/>
      <c r="L257" s="16"/>
      <c r="N257" s="17"/>
      <c r="P257" s="16"/>
      <c r="R257" s="17"/>
      <c r="T257" s="16"/>
      <c r="V257" s="17"/>
      <c r="AH257" s="20"/>
      <c r="AI257" s="20"/>
      <c r="AJ257" s="36"/>
      <c r="AM257" s="22"/>
      <c r="AO257" s="34"/>
    </row>
    <row r="258">
      <c r="D258" s="16"/>
      <c r="F258" s="17"/>
      <c r="H258" s="16"/>
      <c r="J258" s="17"/>
      <c r="L258" s="16"/>
      <c r="N258" s="17"/>
      <c r="P258" s="16"/>
      <c r="R258" s="17"/>
      <c r="T258" s="16"/>
      <c r="V258" s="17"/>
      <c r="AH258" s="20"/>
      <c r="AI258" s="20"/>
      <c r="AJ258" s="36"/>
      <c r="AM258" s="22"/>
      <c r="AO258" s="34"/>
    </row>
    <row r="259">
      <c r="D259" s="16"/>
      <c r="F259" s="17"/>
      <c r="H259" s="16"/>
      <c r="J259" s="17"/>
      <c r="L259" s="16"/>
      <c r="N259" s="17"/>
      <c r="P259" s="16"/>
      <c r="R259" s="17"/>
      <c r="T259" s="16"/>
      <c r="V259" s="17"/>
      <c r="AH259" s="20"/>
      <c r="AI259" s="20"/>
      <c r="AJ259" s="36"/>
      <c r="AM259" s="22"/>
      <c r="AO259" s="34"/>
    </row>
    <row r="260">
      <c r="D260" s="16"/>
      <c r="F260" s="17"/>
      <c r="H260" s="16"/>
      <c r="J260" s="17"/>
      <c r="L260" s="16"/>
      <c r="N260" s="17"/>
      <c r="P260" s="16"/>
      <c r="R260" s="17"/>
      <c r="T260" s="16"/>
      <c r="V260" s="17"/>
      <c r="AH260" s="20"/>
      <c r="AI260" s="20"/>
      <c r="AJ260" s="36"/>
      <c r="AM260" s="22"/>
      <c r="AO260" s="34"/>
    </row>
    <row r="261">
      <c r="D261" s="16"/>
      <c r="F261" s="17"/>
      <c r="H261" s="16"/>
      <c r="J261" s="17"/>
      <c r="L261" s="16"/>
      <c r="N261" s="17"/>
      <c r="P261" s="16"/>
      <c r="R261" s="17"/>
      <c r="T261" s="16"/>
      <c r="V261" s="17"/>
      <c r="AH261" s="20"/>
      <c r="AI261" s="20"/>
      <c r="AJ261" s="36"/>
      <c r="AM261" s="22"/>
      <c r="AO261" s="34"/>
    </row>
    <row r="262">
      <c r="D262" s="16"/>
      <c r="F262" s="17"/>
      <c r="H262" s="16"/>
      <c r="J262" s="17"/>
      <c r="L262" s="16"/>
      <c r="N262" s="17"/>
      <c r="P262" s="16"/>
      <c r="R262" s="17"/>
      <c r="T262" s="16"/>
      <c r="V262" s="17"/>
      <c r="AH262" s="20"/>
      <c r="AI262" s="20"/>
      <c r="AJ262" s="36"/>
      <c r="AM262" s="22"/>
      <c r="AO262" s="34"/>
    </row>
    <row r="263">
      <c r="D263" s="16"/>
      <c r="F263" s="17"/>
      <c r="H263" s="16"/>
      <c r="J263" s="17"/>
      <c r="L263" s="16"/>
      <c r="N263" s="17"/>
      <c r="P263" s="16"/>
      <c r="R263" s="17"/>
      <c r="T263" s="16"/>
      <c r="V263" s="17"/>
      <c r="AH263" s="20"/>
      <c r="AI263" s="20"/>
      <c r="AJ263" s="36"/>
      <c r="AM263" s="22"/>
      <c r="AO263" s="34"/>
    </row>
    <row r="264">
      <c r="D264" s="16"/>
      <c r="F264" s="17"/>
      <c r="H264" s="16"/>
      <c r="J264" s="17"/>
      <c r="L264" s="16"/>
      <c r="N264" s="17"/>
      <c r="P264" s="16"/>
      <c r="R264" s="17"/>
      <c r="T264" s="16"/>
      <c r="V264" s="17"/>
      <c r="AH264" s="20"/>
      <c r="AI264" s="20"/>
      <c r="AJ264" s="36"/>
      <c r="AM264" s="22"/>
      <c r="AO264" s="34"/>
    </row>
    <row r="265">
      <c r="D265" s="16"/>
      <c r="F265" s="17"/>
      <c r="H265" s="16"/>
      <c r="J265" s="17"/>
      <c r="L265" s="16"/>
      <c r="N265" s="17"/>
      <c r="P265" s="16"/>
      <c r="R265" s="17"/>
      <c r="T265" s="16"/>
      <c r="V265" s="17"/>
      <c r="AH265" s="20"/>
      <c r="AI265" s="20"/>
      <c r="AJ265" s="36"/>
      <c r="AM265" s="22"/>
      <c r="AO265" s="34"/>
    </row>
    <row r="266">
      <c r="D266" s="16"/>
      <c r="F266" s="17"/>
      <c r="H266" s="16"/>
      <c r="J266" s="17"/>
      <c r="L266" s="16"/>
      <c r="N266" s="17"/>
      <c r="P266" s="16"/>
      <c r="R266" s="17"/>
      <c r="T266" s="16"/>
      <c r="V266" s="17"/>
      <c r="AH266" s="20"/>
      <c r="AI266" s="20"/>
      <c r="AJ266" s="36"/>
      <c r="AM266" s="22"/>
      <c r="AO266" s="34"/>
    </row>
    <row r="267">
      <c r="D267" s="16"/>
      <c r="F267" s="17"/>
      <c r="H267" s="16"/>
      <c r="J267" s="17"/>
      <c r="L267" s="16"/>
      <c r="N267" s="17"/>
      <c r="P267" s="16"/>
      <c r="R267" s="17"/>
      <c r="T267" s="16"/>
      <c r="V267" s="17"/>
      <c r="AH267" s="20"/>
      <c r="AI267" s="20"/>
      <c r="AJ267" s="36"/>
      <c r="AM267" s="22"/>
      <c r="AO267" s="34"/>
    </row>
    <row r="268">
      <c r="D268" s="16"/>
      <c r="F268" s="17"/>
      <c r="H268" s="16"/>
      <c r="J268" s="17"/>
      <c r="L268" s="16"/>
      <c r="N268" s="17"/>
      <c r="P268" s="16"/>
      <c r="R268" s="17"/>
      <c r="T268" s="16"/>
      <c r="V268" s="17"/>
      <c r="AH268" s="20"/>
      <c r="AI268" s="20"/>
      <c r="AJ268" s="36"/>
      <c r="AM268" s="22"/>
      <c r="AO268" s="34"/>
    </row>
    <row r="269">
      <c r="D269" s="16"/>
      <c r="F269" s="17"/>
      <c r="H269" s="16"/>
      <c r="J269" s="17"/>
      <c r="L269" s="16"/>
      <c r="N269" s="17"/>
      <c r="P269" s="16"/>
      <c r="R269" s="17"/>
      <c r="T269" s="16"/>
      <c r="V269" s="17"/>
      <c r="AH269" s="20"/>
      <c r="AI269" s="20"/>
      <c r="AJ269" s="36"/>
      <c r="AM269" s="22"/>
      <c r="AO269" s="34"/>
    </row>
    <row r="270">
      <c r="D270" s="16"/>
      <c r="F270" s="17"/>
      <c r="H270" s="16"/>
      <c r="J270" s="17"/>
      <c r="L270" s="16"/>
      <c r="N270" s="17"/>
      <c r="P270" s="16"/>
      <c r="R270" s="17"/>
      <c r="T270" s="16"/>
      <c r="V270" s="17"/>
      <c r="AH270" s="20"/>
      <c r="AI270" s="20"/>
      <c r="AJ270" s="36"/>
      <c r="AM270" s="22"/>
      <c r="AO270" s="34"/>
    </row>
    <row r="271">
      <c r="D271" s="16"/>
      <c r="F271" s="17"/>
      <c r="H271" s="16"/>
      <c r="J271" s="17"/>
      <c r="L271" s="16"/>
      <c r="N271" s="17"/>
      <c r="P271" s="16"/>
      <c r="R271" s="17"/>
      <c r="T271" s="16"/>
      <c r="V271" s="17"/>
      <c r="AH271" s="20"/>
      <c r="AI271" s="20"/>
      <c r="AJ271" s="36"/>
      <c r="AM271" s="22"/>
      <c r="AO271" s="34"/>
    </row>
    <row r="272">
      <c r="D272" s="16"/>
      <c r="F272" s="17"/>
      <c r="H272" s="16"/>
      <c r="J272" s="17"/>
      <c r="L272" s="16"/>
      <c r="N272" s="17"/>
      <c r="P272" s="16"/>
      <c r="R272" s="17"/>
      <c r="T272" s="16"/>
      <c r="V272" s="17"/>
      <c r="AH272" s="20"/>
      <c r="AI272" s="20"/>
      <c r="AJ272" s="36"/>
      <c r="AM272" s="22"/>
      <c r="AO272" s="34"/>
    </row>
    <row r="273">
      <c r="D273" s="16"/>
      <c r="F273" s="17"/>
      <c r="H273" s="16"/>
      <c r="J273" s="17"/>
      <c r="L273" s="16"/>
      <c r="N273" s="17"/>
      <c r="P273" s="16"/>
      <c r="R273" s="17"/>
      <c r="T273" s="16"/>
      <c r="V273" s="17"/>
      <c r="AH273" s="20"/>
      <c r="AI273" s="20"/>
      <c r="AJ273" s="36"/>
      <c r="AM273" s="22"/>
      <c r="AO273" s="34"/>
    </row>
    <row r="274">
      <c r="D274" s="16"/>
      <c r="F274" s="17"/>
      <c r="H274" s="16"/>
      <c r="J274" s="17"/>
      <c r="L274" s="16"/>
      <c r="N274" s="17"/>
      <c r="P274" s="16"/>
      <c r="R274" s="17"/>
      <c r="T274" s="16"/>
      <c r="V274" s="17"/>
      <c r="AH274" s="20"/>
      <c r="AI274" s="20"/>
      <c r="AJ274" s="36"/>
      <c r="AM274" s="22"/>
      <c r="AO274" s="34"/>
    </row>
    <row r="275">
      <c r="D275" s="16"/>
      <c r="F275" s="17"/>
      <c r="H275" s="16"/>
      <c r="J275" s="17"/>
      <c r="L275" s="16"/>
      <c r="N275" s="17"/>
      <c r="P275" s="16"/>
      <c r="R275" s="17"/>
      <c r="T275" s="16"/>
      <c r="V275" s="17"/>
      <c r="AH275" s="20"/>
      <c r="AI275" s="20"/>
      <c r="AJ275" s="36"/>
      <c r="AM275" s="22"/>
      <c r="AO275" s="34"/>
    </row>
    <row r="276">
      <c r="D276" s="16"/>
      <c r="F276" s="17"/>
      <c r="H276" s="16"/>
      <c r="J276" s="17"/>
      <c r="L276" s="16"/>
      <c r="N276" s="17"/>
      <c r="P276" s="16"/>
      <c r="R276" s="17"/>
      <c r="T276" s="16"/>
      <c r="V276" s="17"/>
      <c r="AH276" s="20"/>
      <c r="AI276" s="20"/>
      <c r="AJ276" s="36"/>
      <c r="AM276" s="22"/>
      <c r="AO276" s="34"/>
    </row>
    <row r="277">
      <c r="D277" s="16"/>
      <c r="F277" s="17"/>
      <c r="H277" s="16"/>
      <c r="J277" s="17"/>
      <c r="L277" s="16"/>
      <c r="N277" s="17"/>
      <c r="P277" s="16"/>
      <c r="R277" s="17"/>
      <c r="T277" s="16"/>
      <c r="V277" s="17"/>
      <c r="AH277" s="20"/>
      <c r="AI277" s="20"/>
      <c r="AJ277" s="36"/>
      <c r="AM277" s="22"/>
      <c r="AO277" s="34"/>
    </row>
    <row r="278">
      <c r="D278" s="16"/>
      <c r="F278" s="17"/>
      <c r="H278" s="16"/>
      <c r="J278" s="17"/>
      <c r="L278" s="16"/>
      <c r="N278" s="17"/>
      <c r="P278" s="16"/>
      <c r="R278" s="17"/>
      <c r="T278" s="16"/>
      <c r="V278" s="17"/>
      <c r="AH278" s="20"/>
      <c r="AI278" s="20"/>
      <c r="AJ278" s="36"/>
      <c r="AM278" s="22"/>
      <c r="AO278" s="34"/>
    </row>
    <row r="279">
      <c r="D279" s="16"/>
      <c r="F279" s="17"/>
      <c r="H279" s="16"/>
      <c r="J279" s="17"/>
      <c r="L279" s="16"/>
      <c r="N279" s="17"/>
      <c r="P279" s="16"/>
      <c r="R279" s="17"/>
      <c r="T279" s="16"/>
      <c r="V279" s="17"/>
      <c r="AH279" s="20"/>
      <c r="AI279" s="20"/>
      <c r="AJ279" s="36"/>
      <c r="AM279" s="22"/>
      <c r="AO279" s="34"/>
    </row>
    <row r="280">
      <c r="D280" s="16"/>
      <c r="F280" s="17"/>
      <c r="H280" s="16"/>
      <c r="J280" s="17"/>
      <c r="L280" s="16"/>
      <c r="N280" s="17"/>
      <c r="P280" s="16"/>
      <c r="R280" s="17"/>
      <c r="T280" s="16"/>
      <c r="V280" s="17"/>
      <c r="AH280" s="20"/>
      <c r="AI280" s="20"/>
      <c r="AJ280" s="36"/>
      <c r="AM280" s="22"/>
      <c r="AO280" s="34"/>
    </row>
    <row r="281">
      <c r="D281" s="16"/>
      <c r="F281" s="17"/>
      <c r="H281" s="16"/>
      <c r="J281" s="17"/>
      <c r="L281" s="16"/>
      <c r="N281" s="17"/>
      <c r="P281" s="16"/>
      <c r="R281" s="17"/>
      <c r="T281" s="16"/>
      <c r="V281" s="17"/>
      <c r="AH281" s="20"/>
      <c r="AI281" s="20"/>
      <c r="AJ281" s="36"/>
      <c r="AM281" s="22"/>
      <c r="AO281" s="34"/>
    </row>
    <row r="282">
      <c r="D282" s="16"/>
      <c r="F282" s="17"/>
      <c r="H282" s="16"/>
      <c r="J282" s="17"/>
      <c r="L282" s="16"/>
      <c r="N282" s="17"/>
      <c r="P282" s="16"/>
      <c r="R282" s="17"/>
      <c r="T282" s="16"/>
      <c r="V282" s="17"/>
      <c r="AH282" s="20"/>
      <c r="AI282" s="20"/>
      <c r="AJ282" s="36"/>
      <c r="AM282" s="22"/>
      <c r="AO282" s="34"/>
    </row>
    <row r="283">
      <c r="D283" s="16"/>
      <c r="F283" s="17"/>
      <c r="H283" s="16"/>
      <c r="J283" s="17"/>
      <c r="L283" s="16"/>
      <c r="N283" s="17"/>
      <c r="P283" s="16"/>
      <c r="R283" s="17"/>
      <c r="T283" s="16"/>
      <c r="V283" s="17"/>
      <c r="AH283" s="20"/>
      <c r="AI283" s="20"/>
      <c r="AJ283" s="36"/>
      <c r="AM283" s="22"/>
      <c r="AO283" s="34"/>
    </row>
    <row r="284">
      <c r="D284" s="16"/>
      <c r="F284" s="17"/>
      <c r="H284" s="16"/>
      <c r="J284" s="17"/>
      <c r="L284" s="16"/>
      <c r="N284" s="17"/>
      <c r="P284" s="16"/>
      <c r="R284" s="17"/>
      <c r="T284" s="16"/>
      <c r="V284" s="17"/>
      <c r="AH284" s="20"/>
      <c r="AI284" s="20"/>
      <c r="AJ284" s="36"/>
      <c r="AM284" s="22"/>
      <c r="AO284" s="34"/>
    </row>
    <row r="285">
      <c r="D285" s="16"/>
      <c r="F285" s="17"/>
      <c r="H285" s="16"/>
      <c r="J285" s="17"/>
      <c r="L285" s="16"/>
      <c r="N285" s="17"/>
      <c r="P285" s="16"/>
      <c r="R285" s="17"/>
      <c r="T285" s="16"/>
      <c r="V285" s="17"/>
      <c r="AH285" s="20"/>
      <c r="AI285" s="20"/>
      <c r="AJ285" s="36"/>
      <c r="AM285" s="22"/>
      <c r="AO285" s="34"/>
    </row>
    <row r="286">
      <c r="D286" s="16"/>
      <c r="F286" s="17"/>
      <c r="H286" s="16"/>
      <c r="J286" s="17"/>
      <c r="L286" s="16"/>
      <c r="N286" s="17"/>
      <c r="P286" s="16"/>
      <c r="R286" s="17"/>
      <c r="T286" s="16"/>
      <c r="V286" s="17"/>
      <c r="AH286" s="20"/>
      <c r="AI286" s="20"/>
      <c r="AJ286" s="36"/>
      <c r="AM286" s="22"/>
      <c r="AO286" s="34"/>
    </row>
    <row r="287">
      <c r="D287" s="16"/>
      <c r="F287" s="17"/>
      <c r="H287" s="16"/>
      <c r="J287" s="17"/>
      <c r="L287" s="16"/>
      <c r="N287" s="17"/>
      <c r="P287" s="16"/>
      <c r="R287" s="17"/>
      <c r="T287" s="16"/>
      <c r="V287" s="17"/>
      <c r="AH287" s="20"/>
      <c r="AI287" s="20"/>
      <c r="AJ287" s="36"/>
      <c r="AM287" s="22"/>
      <c r="AO287" s="34"/>
    </row>
    <row r="288">
      <c r="D288" s="16"/>
      <c r="F288" s="17"/>
      <c r="H288" s="16"/>
      <c r="J288" s="17"/>
      <c r="L288" s="16"/>
      <c r="N288" s="17"/>
      <c r="P288" s="16"/>
      <c r="R288" s="17"/>
      <c r="T288" s="16"/>
      <c r="V288" s="17"/>
      <c r="AH288" s="20"/>
      <c r="AI288" s="20"/>
      <c r="AJ288" s="36"/>
      <c r="AM288" s="22"/>
      <c r="AO288" s="34"/>
    </row>
    <row r="289">
      <c r="D289" s="16"/>
      <c r="F289" s="17"/>
      <c r="H289" s="16"/>
      <c r="J289" s="17"/>
      <c r="L289" s="16"/>
      <c r="N289" s="17"/>
      <c r="P289" s="16"/>
      <c r="R289" s="17"/>
      <c r="T289" s="16"/>
      <c r="V289" s="17"/>
      <c r="AH289" s="20"/>
      <c r="AI289" s="20"/>
      <c r="AJ289" s="36"/>
      <c r="AM289" s="22"/>
      <c r="AO289" s="34"/>
    </row>
    <row r="290">
      <c r="D290" s="16"/>
      <c r="F290" s="17"/>
      <c r="H290" s="16"/>
      <c r="J290" s="17"/>
      <c r="L290" s="16"/>
      <c r="N290" s="17"/>
      <c r="P290" s="16"/>
      <c r="R290" s="17"/>
      <c r="T290" s="16"/>
      <c r="V290" s="17"/>
      <c r="AH290" s="20"/>
      <c r="AI290" s="20"/>
      <c r="AJ290" s="36"/>
      <c r="AM290" s="22"/>
      <c r="AO290" s="34"/>
    </row>
    <row r="291">
      <c r="D291" s="16"/>
      <c r="F291" s="17"/>
      <c r="H291" s="16"/>
      <c r="J291" s="17"/>
      <c r="L291" s="16"/>
      <c r="N291" s="17"/>
      <c r="P291" s="16"/>
      <c r="R291" s="17"/>
      <c r="T291" s="16"/>
      <c r="V291" s="17"/>
      <c r="AH291" s="20"/>
      <c r="AI291" s="20"/>
      <c r="AJ291" s="36"/>
      <c r="AM291" s="22"/>
      <c r="AO291" s="34"/>
    </row>
    <row r="292">
      <c r="D292" s="16"/>
      <c r="F292" s="17"/>
      <c r="H292" s="16"/>
      <c r="J292" s="17"/>
      <c r="L292" s="16"/>
      <c r="N292" s="17"/>
      <c r="P292" s="16"/>
      <c r="R292" s="17"/>
      <c r="T292" s="16"/>
      <c r="V292" s="17"/>
      <c r="AH292" s="20"/>
      <c r="AI292" s="20"/>
      <c r="AJ292" s="36"/>
      <c r="AM292" s="22"/>
      <c r="AO292" s="34"/>
    </row>
    <row r="293">
      <c r="D293" s="16"/>
      <c r="F293" s="17"/>
      <c r="H293" s="16"/>
      <c r="J293" s="17"/>
      <c r="L293" s="16"/>
      <c r="N293" s="17"/>
      <c r="P293" s="16"/>
      <c r="R293" s="17"/>
      <c r="T293" s="16"/>
      <c r="V293" s="17"/>
      <c r="AH293" s="20"/>
      <c r="AI293" s="20"/>
      <c r="AJ293" s="36"/>
      <c r="AM293" s="22"/>
      <c r="AO293" s="34"/>
    </row>
    <row r="294">
      <c r="D294" s="16"/>
      <c r="F294" s="17"/>
      <c r="H294" s="16"/>
      <c r="J294" s="17"/>
      <c r="L294" s="16"/>
      <c r="N294" s="17"/>
      <c r="P294" s="16"/>
      <c r="R294" s="17"/>
      <c r="T294" s="16"/>
      <c r="V294" s="17"/>
      <c r="AH294" s="20"/>
      <c r="AI294" s="20"/>
      <c r="AJ294" s="36"/>
      <c r="AM294" s="22"/>
      <c r="AO294" s="34"/>
    </row>
    <row r="295">
      <c r="D295" s="16"/>
      <c r="F295" s="17"/>
      <c r="H295" s="16"/>
      <c r="J295" s="17"/>
      <c r="L295" s="16"/>
      <c r="N295" s="17"/>
      <c r="P295" s="16"/>
      <c r="R295" s="17"/>
      <c r="T295" s="16"/>
      <c r="V295" s="17"/>
      <c r="AH295" s="20"/>
      <c r="AI295" s="20"/>
      <c r="AJ295" s="36"/>
      <c r="AM295" s="22"/>
      <c r="AO295" s="34"/>
    </row>
    <row r="296">
      <c r="D296" s="16"/>
      <c r="F296" s="17"/>
      <c r="H296" s="16"/>
      <c r="J296" s="17"/>
      <c r="L296" s="16"/>
      <c r="N296" s="17"/>
      <c r="P296" s="16"/>
      <c r="R296" s="17"/>
      <c r="T296" s="16"/>
      <c r="V296" s="17"/>
      <c r="AH296" s="20"/>
      <c r="AI296" s="20"/>
      <c r="AJ296" s="36"/>
      <c r="AM296" s="22"/>
      <c r="AO296" s="34"/>
    </row>
    <row r="297">
      <c r="D297" s="16"/>
      <c r="F297" s="17"/>
      <c r="H297" s="16"/>
      <c r="J297" s="17"/>
      <c r="L297" s="16"/>
      <c r="N297" s="17"/>
      <c r="P297" s="16"/>
      <c r="R297" s="17"/>
      <c r="T297" s="16"/>
      <c r="V297" s="17"/>
      <c r="AH297" s="20"/>
      <c r="AI297" s="20"/>
      <c r="AJ297" s="36"/>
      <c r="AM297" s="22"/>
      <c r="AO297" s="34"/>
    </row>
    <row r="298">
      <c r="D298" s="16"/>
      <c r="F298" s="17"/>
      <c r="H298" s="16"/>
      <c r="J298" s="17"/>
      <c r="L298" s="16"/>
      <c r="N298" s="17"/>
      <c r="P298" s="16"/>
      <c r="R298" s="17"/>
      <c r="T298" s="16"/>
      <c r="V298" s="17"/>
      <c r="AH298" s="20"/>
      <c r="AI298" s="20"/>
      <c r="AJ298" s="36"/>
      <c r="AM298" s="22"/>
      <c r="AO298" s="34"/>
    </row>
    <row r="299">
      <c r="D299" s="16"/>
      <c r="F299" s="17"/>
      <c r="H299" s="16"/>
      <c r="J299" s="17"/>
      <c r="L299" s="16"/>
      <c r="N299" s="17"/>
      <c r="P299" s="16"/>
      <c r="R299" s="17"/>
      <c r="T299" s="16"/>
      <c r="V299" s="17"/>
      <c r="AH299" s="20"/>
      <c r="AI299" s="20"/>
      <c r="AJ299" s="36"/>
      <c r="AM299" s="22"/>
      <c r="AO299" s="34"/>
    </row>
    <row r="300">
      <c r="D300" s="16"/>
      <c r="F300" s="17"/>
      <c r="H300" s="16"/>
      <c r="J300" s="17"/>
      <c r="L300" s="16"/>
      <c r="N300" s="17"/>
      <c r="P300" s="16"/>
      <c r="R300" s="17"/>
      <c r="T300" s="16"/>
      <c r="V300" s="17"/>
      <c r="AH300" s="20"/>
      <c r="AI300" s="20"/>
      <c r="AJ300" s="36"/>
      <c r="AM300" s="22"/>
      <c r="AO300" s="34"/>
    </row>
    <row r="301">
      <c r="D301" s="16"/>
      <c r="F301" s="17"/>
      <c r="H301" s="16"/>
      <c r="J301" s="17"/>
      <c r="L301" s="16"/>
      <c r="N301" s="17"/>
      <c r="P301" s="16"/>
      <c r="R301" s="17"/>
      <c r="T301" s="16"/>
      <c r="V301" s="17"/>
      <c r="AH301" s="20"/>
      <c r="AI301" s="20"/>
      <c r="AJ301" s="36"/>
      <c r="AM301" s="22"/>
      <c r="AO301" s="34"/>
    </row>
    <row r="302">
      <c r="D302" s="16"/>
      <c r="F302" s="17"/>
      <c r="H302" s="16"/>
      <c r="J302" s="17"/>
      <c r="L302" s="16"/>
      <c r="N302" s="17"/>
      <c r="P302" s="16"/>
      <c r="R302" s="17"/>
      <c r="T302" s="16"/>
      <c r="V302" s="17"/>
      <c r="AH302" s="20"/>
      <c r="AI302" s="20"/>
      <c r="AJ302" s="36"/>
      <c r="AM302" s="22"/>
      <c r="AO302" s="34"/>
    </row>
    <row r="303">
      <c r="D303" s="16"/>
      <c r="F303" s="17"/>
      <c r="H303" s="16"/>
      <c r="J303" s="17"/>
      <c r="L303" s="16"/>
      <c r="N303" s="17"/>
      <c r="P303" s="16"/>
      <c r="R303" s="17"/>
      <c r="T303" s="16"/>
      <c r="V303" s="17"/>
      <c r="AH303" s="20"/>
      <c r="AI303" s="20"/>
      <c r="AJ303" s="36"/>
      <c r="AM303" s="22"/>
      <c r="AO303" s="34"/>
    </row>
    <row r="304">
      <c r="D304" s="16"/>
      <c r="F304" s="17"/>
      <c r="H304" s="16"/>
      <c r="J304" s="17"/>
      <c r="L304" s="16"/>
      <c r="N304" s="17"/>
      <c r="P304" s="16"/>
      <c r="R304" s="17"/>
      <c r="T304" s="16"/>
      <c r="V304" s="17"/>
      <c r="AH304" s="20"/>
      <c r="AI304" s="20"/>
      <c r="AJ304" s="36"/>
      <c r="AM304" s="22"/>
      <c r="AO304" s="34"/>
    </row>
    <row r="305">
      <c r="D305" s="16"/>
      <c r="F305" s="17"/>
      <c r="H305" s="16"/>
      <c r="J305" s="17"/>
      <c r="L305" s="16"/>
      <c r="N305" s="17"/>
      <c r="P305" s="16"/>
      <c r="R305" s="17"/>
      <c r="T305" s="16"/>
      <c r="V305" s="17"/>
      <c r="AH305" s="20"/>
      <c r="AI305" s="20"/>
      <c r="AJ305" s="36"/>
      <c r="AM305" s="22"/>
      <c r="AO305" s="34"/>
    </row>
    <row r="306">
      <c r="D306" s="16"/>
      <c r="F306" s="17"/>
      <c r="H306" s="16"/>
      <c r="J306" s="17"/>
      <c r="L306" s="16"/>
      <c r="N306" s="17"/>
      <c r="P306" s="16"/>
      <c r="R306" s="17"/>
      <c r="T306" s="16"/>
      <c r="V306" s="17"/>
      <c r="AH306" s="20"/>
      <c r="AI306" s="20"/>
      <c r="AJ306" s="36"/>
      <c r="AM306" s="22"/>
      <c r="AO306" s="34"/>
    </row>
    <row r="307">
      <c r="D307" s="16"/>
      <c r="F307" s="17"/>
      <c r="H307" s="16"/>
      <c r="J307" s="17"/>
      <c r="L307" s="16"/>
      <c r="N307" s="17"/>
      <c r="P307" s="16"/>
      <c r="R307" s="17"/>
      <c r="T307" s="16"/>
      <c r="V307" s="17"/>
      <c r="AH307" s="20"/>
      <c r="AI307" s="20"/>
      <c r="AJ307" s="36"/>
      <c r="AM307" s="22"/>
      <c r="AO307" s="34"/>
    </row>
    <row r="308">
      <c r="D308" s="16"/>
      <c r="F308" s="17"/>
      <c r="H308" s="16"/>
      <c r="J308" s="17"/>
      <c r="L308" s="16"/>
      <c r="N308" s="17"/>
      <c r="P308" s="16"/>
      <c r="R308" s="17"/>
      <c r="T308" s="16"/>
      <c r="V308" s="17"/>
      <c r="AH308" s="20"/>
      <c r="AI308" s="20"/>
      <c r="AJ308" s="36"/>
      <c r="AM308" s="22"/>
      <c r="AO308" s="34"/>
    </row>
    <row r="309">
      <c r="D309" s="16"/>
      <c r="F309" s="17"/>
      <c r="H309" s="16"/>
      <c r="J309" s="17"/>
      <c r="L309" s="16"/>
      <c r="N309" s="17"/>
      <c r="P309" s="16"/>
      <c r="R309" s="17"/>
      <c r="T309" s="16"/>
      <c r="V309" s="17"/>
      <c r="AH309" s="20"/>
      <c r="AI309" s="20"/>
      <c r="AJ309" s="36"/>
      <c r="AM309" s="22"/>
      <c r="AO309" s="34"/>
    </row>
    <row r="310">
      <c r="D310" s="16"/>
      <c r="F310" s="17"/>
      <c r="H310" s="16"/>
      <c r="J310" s="17"/>
      <c r="L310" s="16"/>
      <c r="N310" s="17"/>
      <c r="P310" s="16"/>
      <c r="R310" s="17"/>
      <c r="T310" s="16"/>
      <c r="V310" s="17"/>
      <c r="AH310" s="20"/>
      <c r="AI310" s="20"/>
      <c r="AJ310" s="36"/>
      <c r="AM310" s="22"/>
      <c r="AO310" s="34"/>
    </row>
    <row r="311">
      <c r="D311" s="16"/>
      <c r="F311" s="17"/>
      <c r="H311" s="16"/>
      <c r="J311" s="17"/>
      <c r="L311" s="16"/>
      <c r="N311" s="17"/>
      <c r="P311" s="16"/>
      <c r="R311" s="17"/>
      <c r="T311" s="16"/>
      <c r="V311" s="17"/>
      <c r="AH311" s="20"/>
      <c r="AI311" s="20"/>
      <c r="AJ311" s="36"/>
      <c r="AM311" s="22"/>
      <c r="AO311" s="34"/>
    </row>
    <row r="312">
      <c r="D312" s="16"/>
      <c r="F312" s="17"/>
      <c r="H312" s="16"/>
      <c r="J312" s="17"/>
      <c r="L312" s="16"/>
      <c r="N312" s="17"/>
      <c r="P312" s="16"/>
      <c r="R312" s="17"/>
      <c r="T312" s="16"/>
      <c r="V312" s="17"/>
      <c r="AH312" s="20"/>
      <c r="AI312" s="20"/>
      <c r="AJ312" s="36"/>
      <c r="AM312" s="22"/>
      <c r="AO312" s="34"/>
    </row>
    <row r="313">
      <c r="D313" s="16"/>
      <c r="F313" s="17"/>
      <c r="H313" s="16"/>
      <c r="J313" s="17"/>
      <c r="L313" s="16"/>
      <c r="N313" s="17"/>
      <c r="P313" s="16"/>
      <c r="R313" s="17"/>
      <c r="T313" s="16"/>
      <c r="V313" s="17"/>
      <c r="AH313" s="20"/>
      <c r="AI313" s="20"/>
      <c r="AJ313" s="36"/>
      <c r="AM313" s="22"/>
      <c r="AO313" s="34"/>
    </row>
    <row r="314">
      <c r="D314" s="16"/>
      <c r="F314" s="17"/>
      <c r="H314" s="16"/>
      <c r="J314" s="17"/>
      <c r="L314" s="16"/>
      <c r="N314" s="17"/>
      <c r="P314" s="16"/>
      <c r="R314" s="17"/>
      <c r="T314" s="16"/>
      <c r="V314" s="17"/>
      <c r="AH314" s="20"/>
      <c r="AI314" s="20"/>
      <c r="AJ314" s="36"/>
      <c r="AM314" s="22"/>
      <c r="AO314" s="34"/>
    </row>
    <row r="315">
      <c r="D315" s="16"/>
      <c r="F315" s="17"/>
      <c r="H315" s="16"/>
      <c r="J315" s="17"/>
      <c r="L315" s="16"/>
      <c r="N315" s="17"/>
      <c r="P315" s="16"/>
      <c r="R315" s="17"/>
      <c r="T315" s="16"/>
      <c r="V315" s="17"/>
      <c r="AH315" s="20"/>
      <c r="AI315" s="20"/>
      <c r="AJ315" s="36"/>
      <c r="AM315" s="22"/>
      <c r="AO315" s="34"/>
    </row>
    <row r="316">
      <c r="D316" s="16"/>
      <c r="F316" s="17"/>
      <c r="H316" s="16"/>
      <c r="J316" s="17"/>
      <c r="L316" s="16"/>
      <c r="N316" s="17"/>
      <c r="P316" s="16"/>
      <c r="R316" s="17"/>
      <c r="T316" s="16"/>
      <c r="V316" s="17"/>
      <c r="AH316" s="20"/>
      <c r="AI316" s="20"/>
      <c r="AJ316" s="36"/>
      <c r="AM316" s="22"/>
      <c r="AO316" s="34"/>
    </row>
    <row r="317">
      <c r="D317" s="16"/>
      <c r="F317" s="17"/>
      <c r="H317" s="16"/>
      <c r="J317" s="17"/>
      <c r="L317" s="16"/>
      <c r="N317" s="17"/>
      <c r="P317" s="16"/>
      <c r="R317" s="17"/>
      <c r="T317" s="16"/>
      <c r="V317" s="17"/>
      <c r="AH317" s="20"/>
      <c r="AI317" s="20"/>
      <c r="AJ317" s="36"/>
      <c r="AM317" s="22"/>
      <c r="AO317" s="34"/>
    </row>
    <row r="318">
      <c r="D318" s="16"/>
      <c r="F318" s="17"/>
      <c r="H318" s="16"/>
      <c r="J318" s="17"/>
      <c r="L318" s="16"/>
      <c r="N318" s="17"/>
      <c r="P318" s="16"/>
      <c r="R318" s="17"/>
      <c r="T318" s="16"/>
      <c r="V318" s="17"/>
      <c r="AH318" s="20"/>
      <c r="AI318" s="20"/>
      <c r="AJ318" s="36"/>
      <c r="AM318" s="22"/>
      <c r="AO318" s="34"/>
    </row>
    <row r="319">
      <c r="D319" s="16"/>
      <c r="F319" s="17"/>
      <c r="H319" s="16"/>
      <c r="J319" s="17"/>
      <c r="L319" s="16"/>
      <c r="N319" s="17"/>
      <c r="P319" s="16"/>
      <c r="R319" s="17"/>
      <c r="T319" s="16"/>
      <c r="V319" s="17"/>
      <c r="AH319" s="20"/>
      <c r="AI319" s="20"/>
      <c r="AJ319" s="36"/>
      <c r="AM319" s="22"/>
      <c r="AO319" s="34"/>
    </row>
    <row r="320">
      <c r="D320" s="16"/>
      <c r="F320" s="17"/>
      <c r="H320" s="16"/>
      <c r="J320" s="17"/>
      <c r="L320" s="16"/>
      <c r="N320" s="17"/>
      <c r="P320" s="16"/>
      <c r="R320" s="17"/>
      <c r="T320" s="16"/>
      <c r="V320" s="17"/>
      <c r="AH320" s="20"/>
      <c r="AI320" s="20"/>
      <c r="AJ320" s="36"/>
      <c r="AM320" s="22"/>
      <c r="AO320" s="34"/>
    </row>
    <row r="321">
      <c r="D321" s="16"/>
      <c r="F321" s="17"/>
      <c r="H321" s="16"/>
      <c r="J321" s="17"/>
      <c r="L321" s="16"/>
      <c r="N321" s="17"/>
      <c r="P321" s="16"/>
      <c r="R321" s="17"/>
      <c r="T321" s="16"/>
      <c r="V321" s="17"/>
      <c r="AH321" s="20"/>
      <c r="AI321" s="20"/>
      <c r="AJ321" s="36"/>
      <c r="AM321" s="22"/>
      <c r="AO321" s="34"/>
    </row>
    <row r="322">
      <c r="D322" s="16"/>
      <c r="F322" s="17"/>
      <c r="H322" s="16"/>
      <c r="J322" s="17"/>
      <c r="L322" s="16"/>
      <c r="N322" s="17"/>
      <c r="P322" s="16"/>
      <c r="R322" s="17"/>
      <c r="T322" s="16"/>
      <c r="V322" s="17"/>
      <c r="AH322" s="20"/>
      <c r="AI322" s="20"/>
      <c r="AJ322" s="36"/>
      <c r="AM322" s="22"/>
      <c r="AO322" s="34"/>
    </row>
    <row r="323">
      <c r="D323" s="16"/>
      <c r="F323" s="17"/>
      <c r="H323" s="16"/>
      <c r="J323" s="17"/>
      <c r="L323" s="16"/>
      <c r="N323" s="17"/>
      <c r="P323" s="16"/>
      <c r="R323" s="17"/>
      <c r="T323" s="16"/>
      <c r="V323" s="17"/>
      <c r="AH323" s="20"/>
      <c r="AI323" s="20"/>
      <c r="AJ323" s="36"/>
      <c r="AM323" s="22"/>
      <c r="AO323" s="34"/>
    </row>
    <row r="324">
      <c r="D324" s="16"/>
      <c r="F324" s="17"/>
      <c r="H324" s="16"/>
      <c r="J324" s="17"/>
      <c r="L324" s="16"/>
      <c r="N324" s="17"/>
      <c r="P324" s="16"/>
      <c r="R324" s="17"/>
      <c r="T324" s="16"/>
      <c r="V324" s="17"/>
      <c r="AH324" s="20"/>
      <c r="AI324" s="20"/>
      <c r="AJ324" s="36"/>
      <c r="AM324" s="22"/>
      <c r="AO324" s="34"/>
    </row>
    <row r="325">
      <c r="D325" s="16"/>
      <c r="F325" s="17"/>
      <c r="H325" s="16"/>
      <c r="J325" s="17"/>
      <c r="L325" s="16"/>
      <c r="N325" s="17"/>
      <c r="P325" s="16"/>
      <c r="R325" s="17"/>
      <c r="T325" s="16"/>
      <c r="V325" s="17"/>
      <c r="AH325" s="20"/>
      <c r="AI325" s="20"/>
      <c r="AJ325" s="36"/>
      <c r="AM325" s="22"/>
      <c r="AO325" s="34"/>
    </row>
    <row r="326">
      <c r="D326" s="16"/>
      <c r="F326" s="17"/>
      <c r="H326" s="16"/>
      <c r="J326" s="17"/>
      <c r="L326" s="16"/>
      <c r="N326" s="17"/>
      <c r="P326" s="16"/>
      <c r="R326" s="17"/>
      <c r="T326" s="16"/>
      <c r="V326" s="17"/>
      <c r="AH326" s="20"/>
      <c r="AI326" s="20"/>
      <c r="AJ326" s="36"/>
      <c r="AM326" s="22"/>
      <c r="AO326" s="34"/>
    </row>
    <row r="327">
      <c r="D327" s="16"/>
      <c r="F327" s="17"/>
      <c r="H327" s="16"/>
      <c r="J327" s="17"/>
      <c r="L327" s="16"/>
      <c r="N327" s="17"/>
      <c r="P327" s="16"/>
      <c r="R327" s="17"/>
      <c r="T327" s="16"/>
      <c r="V327" s="17"/>
      <c r="AH327" s="20"/>
      <c r="AI327" s="20"/>
      <c r="AJ327" s="36"/>
      <c r="AM327" s="22"/>
      <c r="AO327" s="34"/>
    </row>
    <row r="328">
      <c r="D328" s="16"/>
      <c r="F328" s="17"/>
      <c r="H328" s="16"/>
      <c r="J328" s="17"/>
      <c r="L328" s="16"/>
      <c r="N328" s="17"/>
      <c r="P328" s="16"/>
      <c r="R328" s="17"/>
      <c r="T328" s="16"/>
      <c r="V328" s="17"/>
      <c r="AH328" s="20"/>
      <c r="AI328" s="20"/>
      <c r="AJ328" s="36"/>
      <c r="AM328" s="22"/>
      <c r="AO328" s="34"/>
    </row>
    <row r="329">
      <c r="D329" s="16"/>
      <c r="F329" s="17"/>
      <c r="H329" s="16"/>
      <c r="J329" s="17"/>
      <c r="L329" s="16"/>
      <c r="N329" s="17"/>
      <c r="P329" s="16"/>
      <c r="R329" s="17"/>
      <c r="T329" s="16"/>
      <c r="V329" s="17"/>
      <c r="AH329" s="20"/>
      <c r="AI329" s="20"/>
      <c r="AJ329" s="36"/>
      <c r="AM329" s="22"/>
      <c r="AO329" s="34"/>
    </row>
    <row r="330">
      <c r="D330" s="16"/>
      <c r="F330" s="17"/>
      <c r="H330" s="16"/>
      <c r="J330" s="17"/>
      <c r="L330" s="16"/>
      <c r="N330" s="17"/>
      <c r="P330" s="16"/>
      <c r="R330" s="17"/>
      <c r="T330" s="16"/>
      <c r="V330" s="17"/>
      <c r="AH330" s="20"/>
      <c r="AI330" s="20"/>
      <c r="AJ330" s="36"/>
      <c r="AM330" s="22"/>
      <c r="AO330" s="34"/>
    </row>
    <row r="331">
      <c r="D331" s="16"/>
      <c r="F331" s="17"/>
      <c r="H331" s="16"/>
      <c r="J331" s="17"/>
      <c r="L331" s="16"/>
      <c r="N331" s="17"/>
      <c r="P331" s="16"/>
      <c r="R331" s="17"/>
      <c r="T331" s="16"/>
      <c r="V331" s="17"/>
      <c r="AH331" s="20"/>
      <c r="AI331" s="20"/>
      <c r="AJ331" s="36"/>
      <c r="AM331" s="22"/>
      <c r="AO331" s="34"/>
    </row>
    <row r="332">
      <c r="D332" s="16"/>
      <c r="F332" s="17"/>
      <c r="H332" s="16"/>
      <c r="J332" s="17"/>
      <c r="L332" s="16"/>
      <c r="N332" s="17"/>
      <c r="P332" s="16"/>
      <c r="R332" s="17"/>
      <c r="T332" s="16"/>
      <c r="V332" s="17"/>
      <c r="AH332" s="20"/>
      <c r="AI332" s="20"/>
      <c r="AJ332" s="36"/>
      <c r="AM332" s="22"/>
      <c r="AO332" s="34"/>
    </row>
    <row r="333">
      <c r="D333" s="16"/>
      <c r="F333" s="17"/>
      <c r="H333" s="16"/>
      <c r="J333" s="17"/>
      <c r="L333" s="16"/>
      <c r="N333" s="17"/>
      <c r="P333" s="16"/>
      <c r="R333" s="17"/>
      <c r="T333" s="16"/>
      <c r="V333" s="17"/>
      <c r="AH333" s="20"/>
      <c r="AI333" s="20"/>
      <c r="AJ333" s="36"/>
      <c r="AM333" s="22"/>
      <c r="AO333" s="34"/>
    </row>
    <row r="334">
      <c r="D334" s="16"/>
      <c r="F334" s="17"/>
      <c r="H334" s="16"/>
      <c r="J334" s="17"/>
      <c r="L334" s="16"/>
      <c r="N334" s="17"/>
      <c r="P334" s="16"/>
      <c r="R334" s="17"/>
      <c r="T334" s="16"/>
      <c r="V334" s="17"/>
      <c r="AH334" s="20"/>
      <c r="AI334" s="20"/>
      <c r="AJ334" s="36"/>
      <c r="AM334" s="22"/>
      <c r="AO334" s="34"/>
    </row>
    <row r="335">
      <c r="D335" s="16"/>
      <c r="F335" s="17"/>
      <c r="H335" s="16"/>
      <c r="J335" s="17"/>
      <c r="L335" s="16"/>
      <c r="N335" s="17"/>
      <c r="P335" s="16"/>
      <c r="R335" s="17"/>
      <c r="T335" s="16"/>
      <c r="V335" s="17"/>
      <c r="AH335" s="20"/>
      <c r="AI335" s="20"/>
      <c r="AJ335" s="36"/>
      <c r="AM335" s="22"/>
      <c r="AO335" s="34"/>
    </row>
    <row r="336">
      <c r="D336" s="16"/>
      <c r="F336" s="17"/>
      <c r="H336" s="16"/>
      <c r="J336" s="17"/>
      <c r="L336" s="16"/>
      <c r="N336" s="17"/>
      <c r="P336" s="16"/>
      <c r="R336" s="17"/>
      <c r="T336" s="16"/>
      <c r="V336" s="17"/>
      <c r="AH336" s="20"/>
      <c r="AI336" s="20"/>
      <c r="AJ336" s="36"/>
      <c r="AM336" s="22"/>
      <c r="AO336" s="34"/>
    </row>
    <row r="337">
      <c r="D337" s="16"/>
      <c r="F337" s="17"/>
      <c r="H337" s="16"/>
      <c r="J337" s="17"/>
      <c r="L337" s="16"/>
      <c r="N337" s="17"/>
      <c r="P337" s="16"/>
      <c r="R337" s="17"/>
      <c r="T337" s="16"/>
      <c r="V337" s="17"/>
      <c r="AH337" s="20"/>
      <c r="AI337" s="20"/>
      <c r="AJ337" s="36"/>
      <c r="AM337" s="22"/>
      <c r="AO337" s="34"/>
    </row>
    <row r="338">
      <c r="D338" s="16"/>
      <c r="F338" s="17"/>
      <c r="H338" s="16"/>
      <c r="J338" s="17"/>
      <c r="L338" s="16"/>
      <c r="N338" s="17"/>
      <c r="P338" s="16"/>
      <c r="R338" s="17"/>
      <c r="T338" s="16"/>
      <c r="V338" s="17"/>
      <c r="AH338" s="20"/>
      <c r="AI338" s="20"/>
      <c r="AJ338" s="36"/>
      <c r="AM338" s="22"/>
      <c r="AO338" s="34"/>
    </row>
    <row r="339">
      <c r="D339" s="16"/>
      <c r="F339" s="17"/>
      <c r="H339" s="16"/>
      <c r="J339" s="17"/>
      <c r="L339" s="16"/>
      <c r="N339" s="17"/>
      <c r="P339" s="16"/>
      <c r="R339" s="17"/>
      <c r="T339" s="16"/>
      <c r="V339" s="17"/>
      <c r="AH339" s="20"/>
      <c r="AI339" s="20"/>
      <c r="AJ339" s="36"/>
      <c r="AM339" s="22"/>
      <c r="AO339" s="34"/>
    </row>
    <row r="340">
      <c r="D340" s="16"/>
      <c r="F340" s="17"/>
      <c r="H340" s="16"/>
      <c r="J340" s="17"/>
      <c r="L340" s="16"/>
      <c r="N340" s="17"/>
      <c r="P340" s="16"/>
      <c r="R340" s="17"/>
      <c r="T340" s="16"/>
      <c r="V340" s="17"/>
      <c r="AH340" s="20"/>
      <c r="AI340" s="20"/>
      <c r="AJ340" s="36"/>
      <c r="AM340" s="22"/>
      <c r="AO340" s="34"/>
    </row>
    <row r="341">
      <c r="D341" s="16"/>
      <c r="F341" s="17"/>
      <c r="H341" s="16"/>
      <c r="J341" s="17"/>
      <c r="L341" s="16"/>
      <c r="N341" s="17"/>
      <c r="P341" s="16"/>
      <c r="R341" s="17"/>
      <c r="T341" s="16"/>
      <c r="V341" s="17"/>
      <c r="AH341" s="20"/>
      <c r="AI341" s="20"/>
      <c r="AJ341" s="36"/>
      <c r="AM341" s="22"/>
      <c r="AO341" s="34"/>
    </row>
    <row r="342">
      <c r="D342" s="16"/>
      <c r="F342" s="17"/>
      <c r="H342" s="16"/>
      <c r="J342" s="17"/>
      <c r="L342" s="16"/>
      <c r="N342" s="17"/>
      <c r="P342" s="16"/>
      <c r="R342" s="17"/>
      <c r="T342" s="16"/>
      <c r="V342" s="17"/>
      <c r="AH342" s="20"/>
      <c r="AI342" s="20"/>
      <c r="AJ342" s="36"/>
      <c r="AM342" s="22"/>
      <c r="AO342" s="34"/>
    </row>
    <row r="343">
      <c r="D343" s="16"/>
      <c r="F343" s="17"/>
      <c r="H343" s="16"/>
      <c r="J343" s="17"/>
      <c r="L343" s="16"/>
      <c r="N343" s="17"/>
      <c r="P343" s="16"/>
      <c r="R343" s="17"/>
      <c r="T343" s="16"/>
      <c r="V343" s="17"/>
      <c r="AH343" s="20"/>
      <c r="AI343" s="20"/>
      <c r="AJ343" s="36"/>
      <c r="AM343" s="22"/>
      <c r="AO343" s="34"/>
    </row>
    <row r="344">
      <c r="D344" s="16"/>
      <c r="F344" s="17"/>
      <c r="H344" s="16"/>
      <c r="J344" s="17"/>
      <c r="L344" s="16"/>
      <c r="N344" s="17"/>
      <c r="P344" s="16"/>
      <c r="R344" s="17"/>
      <c r="T344" s="16"/>
      <c r="V344" s="17"/>
      <c r="AH344" s="20"/>
      <c r="AI344" s="20"/>
      <c r="AJ344" s="36"/>
      <c r="AM344" s="22"/>
      <c r="AO344" s="34"/>
    </row>
    <row r="345">
      <c r="D345" s="16"/>
      <c r="F345" s="17"/>
      <c r="H345" s="16"/>
      <c r="J345" s="17"/>
      <c r="L345" s="16"/>
      <c r="N345" s="17"/>
      <c r="P345" s="16"/>
      <c r="R345" s="17"/>
      <c r="T345" s="16"/>
      <c r="V345" s="17"/>
      <c r="AH345" s="20"/>
      <c r="AI345" s="20"/>
      <c r="AJ345" s="36"/>
      <c r="AM345" s="22"/>
      <c r="AO345" s="34"/>
    </row>
    <row r="346">
      <c r="D346" s="16"/>
      <c r="F346" s="17"/>
      <c r="H346" s="16"/>
      <c r="J346" s="17"/>
      <c r="L346" s="16"/>
      <c r="N346" s="17"/>
      <c r="P346" s="16"/>
      <c r="R346" s="17"/>
      <c r="T346" s="16"/>
      <c r="V346" s="17"/>
      <c r="AH346" s="20"/>
      <c r="AI346" s="20"/>
      <c r="AJ346" s="36"/>
      <c r="AM346" s="22"/>
      <c r="AO346" s="34"/>
    </row>
    <row r="347">
      <c r="D347" s="16"/>
      <c r="F347" s="17"/>
      <c r="H347" s="16"/>
      <c r="J347" s="17"/>
      <c r="L347" s="16"/>
      <c r="N347" s="17"/>
      <c r="P347" s="16"/>
      <c r="R347" s="17"/>
      <c r="T347" s="16"/>
      <c r="V347" s="17"/>
      <c r="AH347" s="20"/>
      <c r="AI347" s="20"/>
      <c r="AJ347" s="36"/>
      <c r="AM347" s="22"/>
      <c r="AO347" s="34"/>
    </row>
    <row r="348">
      <c r="D348" s="16"/>
      <c r="F348" s="17"/>
      <c r="H348" s="16"/>
      <c r="J348" s="17"/>
      <c r="L348" s="16"/>
      <c r="N348" s="17"/>
      <c r="P348" s="16"/>
      <c r="R348" s="17"/>
      <c r="T348" s="16"/>
      <c r="V348" s="17"/>
      <c r="AH348" s="20"/>
      <c r="AI348" s="20"/>
      <c r="AJ348" s="36"/>
      <c r="AM348" s="22"/>
      <c r="AO348" s="34"/>
    </row>
    <row r="349">
      <c r="D349" s="16"/>
      <c r="F349" s="17"/>
      <c r="H349" s="16"/>
      <c r="J349" s="17"/>
      <c r="L349" s="16"/>
      <c r="N349" s="17"/>
      <c r="P349" s="16"/>
      <c r="R349" s="17"/>
      <c r="T349" s="16"/>
      <c r="V349" s="17"/>
      <c r="AH349" s="20"/>
      <c r="AI349" s="20"/>
      <c r="AJ349" s="36"/>
      <c r="AM349" s="22"/>
      <c r="AO349" s="34"/>
    </row>
    <row r="350">
      <c r="D350" s="16"/>
      <c r="F350" s="17"/>
      <c r="H350" s="16"/>
      <c r="J350" s="17"/>
      <c r="L350" s="16"/>
      <c r="N350" s="17"/>
      <c r="P350" s="16"/>
      <c r="R350" s="17"/>
      <c r="T350" s="16"/>
      <c r="V350" s="17"/>
      <c r="AH350" s="20"/>
      <c r="AI350" s="20"/>
      <c r="AJ350" s="36"/>
      <c r="AM350" s="22"/>
      <c r="AO350" s="34"/>
    </row>
    <row r="351">
      <c r="D351" s="16"/>
      <c r="F351" s="17"/>
      <c r="H351" s="16"/>
      <c r="J351" s="17"/>
      <c r="L351" s="16"/>
      <c r="N351" s="17"/>
      <c r="P351" s="16"/>
      <c r="R351" s="17"/>
      <c r="T351" s="16"/>
      <c r="V351" s="17"/>
      <c r="AH351" s="20"/>
      <c r="AI351" s="20"/>
      <c r="AJ351" s="36"/>
      <c r="AM351" s="22"/>
      <c r="AO351" s="34"/>
    </row>
    <row r="352">
      <c r="D352" s="16"/>
      <c r="F352" s="17"/>
      <c r="H352" s="16"/>
      <c r="J352" s="17"/>
      <c r="L352" s="16"/>
      <c r="N352" s="17"/>
      <c r="P352" s="16"/>
      <c r="R352" s="17"/>
      <c r="T352" s="16"/>
      <c r="V352" s="17"/>
      <c r="AH352" s="20"/>
      <c r="AI352" s="20"/>
      <c r="AJ352" s="36"/>
      <c r="AM352" s="22"/>
      <c r="AO352" s="34"/>
    </row>
    <row r="353">
      <c r="D353" s="16"/>
      <c r="F353" s="17"/>
      <c r="H353" s="16"/>
      <c r="J353" s="17"/>
      <c r="L353" s="16"/>
      <c r="N353" s="17"/>
      <c r="P353" s="16"/>
      <c r="R353" s="17"/>
      <c r="T353" s="16"/>
      <c r="V353" s="17"/>
      <c r="AH353" s="20"/>
      <c r="AI353" s="20"/>
      <c r="AJ353" s="36"/>
      <c r="AM353" s="22"/>
      <c r="AO353" s="34"/>
    </row>
    <row r="354">
      <c r="D354" s="16"/>
      <c r="F354" s="17"/>
      <c r="H354" s="16"/>
      <c r="J354" s="17"/>
      <c r="L354" s="16"/>
      <c r="N354" s="17"/>
      <c r="P354" s="16"/>
      <c r="R354" s="17"/>
      <c r="T354" s="16"/>
      <c r="V354" s="17"/>
      <c r="AH354" s="20"/>
      <c r="AI354" s="20"/>
      <c r="AJ354" s="36"/>
      <c r="AM354" s="22"/>
      <c r="AO354" s="34"/>
    </row>
    <row r="355">
      <c r="D355" s="16"/>
      <c r="F355" s="17"/>
      <c r="H355" s="16"/>
      <c r="J355" s="17"/>
      <c r="L355" s="16"/>
      <c r="N355" s="17"/>
      <c r="P355" s="16"/>
      <c r="R355" s="17"/>
      <c r="T355" s="16"/>
      <c r="V355" s="17"/>
      <c r="AH355" s="20"/>
      <c r="AI355" s="20"/>
      <c r="AJ355" s="36"/>
      <c r="AM355" s="22"/>
      <c r="AO355" s="34"/>
    </row>
    <row r="356">
      <c r="D356" s="16"/>
      <c r="F356" s="17"/>
      <c r="H356" s="16"/>
      <c r="J356" s="17"/>
      <c r="L356" s="16"/>
      <c r="N356" s="17"/>
      <c r="P356" s="16"/>
      <c r="R356" s="17"/>
      <c r="T356" s="16"/>
      <c r="V356" s="17"/>
      <c r="AH356" s="20"/>
      <c r="AI356" s="20"/>
      <c r="AJ356" s="36"/>
      <c r="AM356" s="22"/>
      <c r="AO356" s="34"/>
    </row>
    <row r="357">
      <c r="D357" s="16"/>
      <c r="F357" s="17"/>
      <c r="H357" s="16"/>
      <c r="J357" s="17"/>
      <c r="L357" s="16"/>
      <c r="N357" s="17"/>
      <c r="P357" s="16"/>
      <c r="R357" s="17"/>
      <c r="T357" s="16"/>
      <c r="V357" s="17"/>
      <c r="AH357" s="20"/>
      <c r="AI357" s="20"/>
      <c r="AJ357" s="36"/>
      <c r="AM357" s="22"/>
      <c r="AO357" s="34"/>
    </row>
    <row r="358">
      <c r="D358" s="16"/>
      <c r="F358" s="17"/>
      <c r="H358" s="16"/>
      <c r="J358" s="17"/>
      <c r="L358" s="16"/>
      <c r="N358" s="17"/>
      <c r="P358" s="16"/>
      <c r="R358" s="17"/>
      <c r="T358" s="16"/>
      <c r="V358" s="17"/>
      <c r="AH358" s="20"/>
      <c r="AI358" s="20"/>
      <c r="AJ358" s="36"/>
      <c r="AM358" s="22"/>
      <c r="AO358" s="34"/>
    </row>
    <row r="359">
      <c r="D359" s="16"/>
      <c r="F359" s="17"/>
      <c r="H359" s="16"/>
      <c r="J359" s="17"/>
      <c r="L359" s="16"/>
      <c r="N359" s="17"/>
      <c r="P359" s="16"/>
      <c r="R359" s="17"/>
      <c r="T359" s="16"/>
      <c r="V359" s="17"/>
      <c r="AH359" s="20"/>
      <c r="AI359" s="20"/>
      <c r="AJ359" s="36"/>
      <c r="AM359" s="22"/>
      <c r="AO359" s="34"/>
    </row>
    <row r="360">
      <c r="D360" s="16"/>
      <c r="F360" s="17"/>
      <c r="H360" s="16"/>
      <c r="J360" s="17"/>
      <c r="L360" s="16"/>
      <c r="N360" s="17"/>
      <c r="P360" s="16"/>
      <c r="R360" s="17"/>
      <c r="T360" s="16"/>
      <c r="V360" s="17"/>
      <c r="AH360" s="20"/>
      <c r="AI360" s="20"/>
      <c r="AJ360" s="36"/>
      <c r="AM360" s="22"/>
      <c r="AO360" s="34"/>
    </row>
    <row r="361">
      <c r="D361" s="16"/>
      <c r="F361" s="17"/>
      <c r="H361" s="16"/>
      <c r="J361" s="17"/>
      <c r="L361" s="16"/>
      <c r="N361" s="17"/>
      <c r="P361" s="16"/>
      <c r="R361" s="17"/>
      <c r="T361" s="16"/>
      <c r="V361" s="17"/>
      <c r="AH361" s="20"/>
      <c r="AI361" s="20"/>
      <c r="AJ361" s="36"/>
      <c r="AM361" s="22"/>
      <c r="AO361" s="34"/>
    </row>
    <row r="362">
      <c r="D362" s="16"/>
      <c r="F362" s="17"/>
      <c r="H362" s="16"/>
      <c r="J362" s="17"/>
      <c r="L362" s="16"/>
      <c r="N362" s="17"/>
      <c r="P362" s="16"/>
      <c r="R362" s="17"/>
      <c r="T362" s="16"/>
      <c r="V362" s="17"/>
      <c r="AH362" s="20"/>
      <c r="AI362" s="20"/>
      <c r="AJ362" s="36"/>
      <c r="AM362" s="22"/>
      <c r="AO362" s="34"/>
    </row>
    <row r="363">
      <c r="D363" s="16"/>
      <c r="F363" s="17"/>
      <c r="H363" s="16"/>
      <c r="J363" s="17"/>
      <c r="L363" s="16"/>
      <c r="N363" s="17"/>
      <c r="P363" s="16"/>
      <c r="R363" s="17"/>
      <c r="T363" s="16"/>
      <c r="V363" s="17"/>
      <c r="AH363" s="20"/>
      <c r="AI363" s="20"/>
      <c r="AJ363" s="36"/>
      <c r="AM363" s="22"/>
      <c r="AO363" s="34"/>
    </row>
    <row r="364">
      <c r="D364" s="16"/>
      <c r="F364" s="17"/>
      <c r="H364" s="16"/>
      <c r="J364" s="17"/>
      <c r="L364" s="16"/>
      <c r="N364" s="17"/>
      <c r="P364" s="16"/>
      <c r="R364" s="17"/>
      <c r="T364" s="16"/>
      <c r="V364" s="17"/>
      <c r="AH364" s="20"/>
      <c r="AI364" s="20"/>
      <c r="AJ364" s="36"/>
      <c r="AM364" s="22"/>
      <c r="AO364" s="34"/>
    </row>
    <row r="365">
      <c r="D365" s="16"/>
      <c r="F365" s="17"/>
      <c r="H365" s="16"/>
      <c r="J365" s="17"/>
      <c r="L365" s="16"/>
      <c r="N365" s="17"/>
      <c r="P365" s="16"/>
      <c r="R365" s="17"/>
      <c r="T365" s="16"/>
      <c r="V365" s="17"/>
      <c r="AH365" s="20"/>
      <c r="AI365" s="20"/>
      <c r="AJ365" s="36"/>
      <c r="AM365" s="22"/>
      <c r="AO365" s="34"/>
    </row>
    <row r="366">
      <c r="D366" s="16"/>
      <c r="F366" s="17"/>
      <c r="H366" s="16"/>
      <c r="J366" s="17"/>
      <c r="L366" s="16"/>
      <c r="N366" s="17"/>
      <c r="P366" s="16"/>
      <c r="R366" s="17"/>
      <c r="T366" s="16"/>
      <c r="V366" s="17"/>
      <c r="AH366" s="20"/>
      <c r="AI366" s="20"/>
      <c r="AJ366" s="36"/>
      <c r="AM366" s="22"/>
      <c r="AO366" s="34"/>
    </row>
    <row r="367">
      <c r="D367" s="16"/>
      <c r="F367" s="17"/>
      <c r="H367" s="16"/>
      <c r="J367" s="17"/>
      <c r="L367" s="16"/>
      <c r="N367" s="17"/>
      <c r="P367" s="16"/>
      <c r="R367" s="17"/>
      <c r="T367" s="16"/>
      <c r="V367" s="17"/>
      <c r="AH367" s="20"/>
      <c r="AI367" s="20"/>
      <c r="AJ367" s="36"/>
      <c r="AM367" s="22"/>
      <c r="AO367" s="34"/>
    </row>
    <row r="368">
      <c r="D368" s="16"/>
      <c r="F368" s="17"/>
      <c r="H368" s="16"/>
      <c r="J368" s="17"/>
      <c r="L368" s="16"/>
      <c r="N368" s="17"/>
      <c r="P368" s="16"/>
      <c r="R368" s="17"/>
      <c r="T368" s="16"/>
      <c r="V368" s="17"/>
      <c r="AH368" s="20"/>
      <c r="AI368" s="20"/>
      <c r="AJ368" s="36"/>
      <c r="AM368" s="22"/>
      <c r="AO368" s="34"/>
    </row>
    <row r="369">
      <c r="D369" s="16"/>
      <c r="F369" s="17"/>
      <c r="H369" s="16"/>
      <c r="J369" s="17"/>
      <c r="L369" s="16"/>
      <c r="N369" s="17"/>
      <c r="P369" s="16"/>
      <c r="R369" s="17"/>
      <c r="T369" s="16"/>
      <c r="V369" s="17"/>
      <c r="AH369" s="20"/>
      <c r="AI369" s="20"/>
      <c r="AJ369" s="36"/>
      <c r="AM369" s="22"/>
      <c r="AO369" s="34"/>
    </row>
    <row r="370">
      <c r="D370" s="16"/>
      <c r="F370" s="17"/>
      <c r="H370" s="16"/>
      <c r="J370" s="17"/>
      <c r="L370" s="16"/>
      <c r="N370" s="17"/>
      <c r="P370" s="16"/>
      <c r="R370" s="17"/>
      <c r="T370" s="16"/>
      <c r="V370" s="17"/>
      <c r="AH370" s="20"/>
      <c r="AI370" s="20"/>
      <c r="AJ370" s="36"/>
      <c r="AM370" s="22"/>
      <c r="AO370" s="34"/>
    </row>
    <row r="371">
      <c r="D371" s="16"/>
      <c r="F371" s="17"/>
      <c r="H371" s="16"/>
      <c r="J371" s="17"/>
      <c r="L371" s="16"/>
      <c r="N371" s="17"/>
      <c r="P371" s="16"/>
      <c r="R371" s="17"/>
      <c r="T371" s="16"/>
      <c r="V371" s="17"/>
      <c r="AH371" s="20"/>
      <c r="AI371" s="20"/>
      <c r="AJ371" s="36"/>
      <c r="AM371" s="22"/>
      <c r="AO371" s="34"/>
    </row>
    <row r="372">
      <c r="D372" s="16"/>
      <c r="F372" s="17"/>
      <c r="H372" s="16"/>
      <c r="J372" s="17"/>
      <c r="L372" s="16"/>
      <c r="N372" s="17"/>
      <c r="P372" s="16"/>
      <c r="R372" s="17"/>
      <c r="T372" s="16"/>
      <c r="V372" s="17"/>
      <c r="AH372" s="20"/>
      <c r="AI372" s="20"/>
      <c r="AJ372" s="36"/>
      <c r="AM372" s="22"/>
      <c r="AO372" s="34"/>
    </row>
    <row r="373">
      <c r="D373" s="16"/>
      <c r="F373" s="17"/>
      <c r="H373" s="16"/>
      <c r="J373" s="17"/>
      <c r="L373" s="16"/>
      <c r="N373" s="17"/>
      <c r="P373" s="16"/>
      <c r="R373" s="17"/>
      <c r="T373" s="16"/>
      <c r="V373" s="17"/>
      <c r="AH373" s="20"/>
      <c r="AI373" s="20"/>
      <c r="AJ373" s="36"/>
      <c r="AM373" s="22"/>
      <c r="AO373" s="34"/>
    </row>
    <row r="374">
      <c r="D374" s="16"/>
      <c r="F374" s="17"/>
      <c r="H374" s="16"/>
      <c r="J374" s="17"/>
      <c r="L374" s="16"/>
      <c r="N374" s="17"/>
      <c r="P374" s="16"/>
      <c r="R374" s="17"/>
      <c r="T374" s="16"/>
      <c r="V374" s="17"/>
      <c r="AH374" s="20"/>
      <c r="AI374" s="20"/>
      <c r="AJ374" s="36"/>
      <c r="AM374" s="22"/>
      <c r="AO374" s="34"/>
    </row>
    <row r="375">
      <c r="D375" s="16"/>
      <c r="F375" s="17"/>
      <c r="H375" s="16"/>
      <c r="J375" s="17"/>
      <c r="L375" s="16"/>
      <c r="N375" s="17"/>
      <c r="P375" s="16"/>
      <c r="R375" s="17"/>
      <c r="T375" s="16"/>
      <c r="V375" s="17"/>
      <c r="AH375" s="20"/>
      <c r="AI375" s="20"/>
      <c r="AJ375" s="36"/>
      <c r="AM375" s="22"/>
      <c r="AO375" s="34"/>
    </row>
    <row r="376">
      <c r="D376" s="16"/>
      <c r="F376" s="17"/>
      <c r="H376" s="16"/>
      <c r="J376" s="17"/>
      <c r="L376" s="16"/>
      <c r="N376" s="17"/>
      <c r="P376" s="16"/>
      <c r="R376" s="17"/>
      <c r="T376" s="16"/>
      <c r="V376" s="17"/>
      <c r="AH376" s="20"/>
      <c r="AI376" s="20"/>
      <c r="AJ376" s="36"/>
      <c r="AM376" s="22"/>
      <c r="AO376" s="34"/>
    </row>
    <row r="377">
      <c r="D377" s="16"/>
      <c r="F377" s="17"/>
      <c r="H377" s="16"/>
      <c r="J377" s="17"/>
      <c r="L377" s="16"/>
      <c r="N377" s="17"/>
      <c r="P377" s="16"/>
      <c r="R377" s="17"/>
      <c r="T377" s="16"/>
      <c r="V377" s="17"/>
      <c r="AH377" s="20"/>
      <c r="AI377" s="20"/>
      <c r="AJ377" s="36"/>
      <c r="AM377" s="22"/>
      <c r="AO377" s="34"/>
    </row>
    <row r="378">
      <c r="D378" s="16"/>
      <c r="F378" s="17"/>
      <c r="H378" s="16"/>
      <c r="J378" s="17"/>
      <c r="L378" s="16"/>
      <c r="N378" s="17"/>
      <c r="P378" s="16"/>
      <c r="R378" s="17"/>
      <c r="T378" s="16"/>
      <c r="V378" s="17"/>
      <c r="AH378" s="20"/>
      <c r="AI378" s="20"/>
      <c r="AJ378" s="36"/>
      <c r="AM378" s="22"/>
      <c r="AO378" s="34"/>
    </row>
    <row r="379">
      <c r="D379" s="16"/>
      <c r="F379" s="17"/>
      <c r="H379" s="16"/>
      <c r="J379" s="17"/>
      <c r="L379" s="16"/>
      <c r="N379" s="17"/>
      <c r="P379" s="16"/>
      <c r="R379" s="17"/>
      <c r="T379" s="16"/>
      <c r="V379" s="17"/>
      <c r="AH379" s="20"/>
      <c r="AI379" s="20"/>
      <c r="AJ379" s="36"/>
      <c r="AM379" s="22"/>
      <c r="AO379" s="34"/>
    </row>
    <row r="380">
      <c r="D380" s="16"/>
      <c r="F380" s="17"/>
      <c r="H380" s="16"/>
      <c r="J380" s="17"/>
      <c r="L380" s="16"/>
      <c r="N380" s="17"/>
      <c r="P380" s="16"/>
      <c r="R380" s="17"/>
      <c r="T380" s="16"/>
      <c r="V380" s="17"/>
      <c r="AH380" s="20"/>
      <c r="AI380" s="20"/>
      <c r="AJ380" s="36"/>
      <c r="AM380" s="22"/>
      <c r="AO380" s="34"/>
    </row>
    <row r="381">
      <c r="D381" s="16"/>
      <c r="F381" s="17"/>
      <c r="H381" s="16"/>
      <c r="J381" s="17"/>
      <c r="L381" s="16"/>
      <c r="N381" s="17"/>
      <c r="P381" s="16"/>
      <c r="R381" s="17"/>
      <c r="T381" s="16"/>
      <c r="V381" s="17"/>
      <c r="AH381" s="20"/>
      <c r="AI381" s="20"/>
      <c r="AJ381" s="36"/>
      <c r="AM381" s="22"/>
      <c r="AO381" s="34"/>
    </row>
    <row r="382">
      <c r="D382" s="16"/>
      <c r="F382" s="17"/>
      <c r="H382" s="16"/>
      <c r="J382" s="17"/>
      <c r="L382" s="16"/>
      <c r="N382" s="17"/>
      <c r="P382" s="16"/>
      <c r="R382" s="17"/>
      <c r="T382" s="16"/>
      <c r="V382" s="17"/>
      <c r="AH382" s="20"/>
      <c r="AI382" s="20"/>
      <c r="AJ382" s="36"/>
      <c r="AM382" s="22"/>
      <c r="AO382" s="34"/>
    </row>
    <row r="383">
      <c r="D383" s="16"/>
      <c r="F383" s="17"/>
      <c r="H383" s="16"/>
      <c r="J383" s="17"/>
      <c r="L383" s="16"/>
      <c r="N383" s="17"/>
      <c r="P383" s="16"/>
      <c r="R383" s="17"/>
      <c r="T383" s="16"/>
      <c r="V383" s="17"/>
      <c r="AH383" s="20"/>
      <c r="AI383" s="20"/>
      <c r="AJ383" s="36"/>
      <c r="AM383" s="22"/>
      <c r="AO383" s="34"/>
    </row>
    <row r="384">
      <c r="D384" s="16"/>
      <c r="F384" s="17"/>
      <c r="H384" s="16"/>
      <c r="J384" s="17"/>
      <c r="L384" s="16"/>
      <c r="N384" s="17"/>
      <c r="P384" s="16"/>
      <c r="R384" s="17"/>
      <c r="T384" s="16"/>
      <c r="V384" s="17"/>
      <c r="AH384" s="20"/>
      <c r="AI384" s="20"/>
      <c r="AJ384" s="36"/>
      <c r="AM384" s="22"/>
      <c r="AO384" s="34"/>
    </row>
    <row r="385">
      <c r="D385" s="16"/>
      <c r="F385" s="17"/>
      <c r="H385" s="16"/>
      <c r="J385" s="17"/>
      <c r="L385" s="16"/>
      <c r="N385" s="17"/>
      <c r="P385" s="16"/>
      <c r="R385" s="17"/>
      <c r="T385" s="16"/>
      <c r="V385" s="17"/>
      <c r="AH385" s="20"/>
      <c r="AI385" s="20"/>
      <c r="AJ385" s="36"/>
      <c r="AM385" s="22"/>
      <c r="AO385" s="34"/>
    </row>
    <row r="386">
      <c r="D386" s="16"/>
      <c r="F386" s="17"/>
      <c r="H386" s="16"/>
      <c r="J386" s="17"/>
      <c r="L386" s="16"/>
      <c r="N386" s="17"/>
      <c r="P386" s="16"/>
      <c r="R386" s="17"/>
      <c r="T386" s="16"/>
      <c r="V386" s="17"/>
      <c r="AH386" s="20"/>
      <c r="AI386" s="20"/>
      <c r="AJ386" s="36"/>
      <c r="AM386" s="22"/>
      <c r="AO386" s="34"/>
    </row>
    <row r="387">
      <c r="D387" s="16"/>
      <c r="F387" s="17"/>
      <c r="H387" s="16"/>
      <c r="J387" s="17"/>
      <c r="L387" s="16"/>
      <c r="N387" s="17"/>
      <c r="P387" s="16"/>
      <c r="R387" s="17"/>
      <c r="T387" s="16"/>
      <c r="V387" s="17"/>
      <c r="AH387" s="20"/>
      <c r="AI387" s="20"/>
      <c r="AJ387" s="36"/>
      <c r="AM387" s="22"/>
      <c r="AO387" s="34"/>
    </row>
    <row r="388">
      <c r="D388" s="16"/>
      <c r="F388" s="17"/>
      <c r="H388" s="16"/>
      <c r="J388" s="17"/>
      <c r="L388" s="16"/>
      <c r="N388" s="17"/>
      <c r="P388" s="16"/>
      <c r="R388" s="17"/>
      <c r="T388" s="16"/>
      <c r="V388" s="17"/>
      <c r="AH388" s="20"/>
      <c r="AI388" s="20"/>
      <c r="AJ388" s="36"/>
      <c r="AM388" s="22"/>
      <c r="AO388" s="34"/>
    </row>
    <row r="389">
      <c r="D389" s="16"/>
      <c r="F389" s="17"/>
      <c r="H389" s="16"/>
      <c r="J389" s="17"/>
      <c r="L389" s="16"/>
      <c r="N389" s="17"/>
      <c r="P389" s="16"/>
      <c r="R389" s="17"/>
      <c r="T389" s="16"/>
      <c r="V389" s="17"/>
      <c r="AH389" s="20"/>
      <c r="AI389" s="20"/>
      <c r="AJ389" s="36"/>
      <c r="AM389" s="22"/>
      <c r="AO389" s="34"/>
    </row>
    <row r="390">
      <c r="D390" s="16"/>
      <c r="F390" s="17"/>
      <c r="H390" s="16"/>
      <c r="J390" s="17"/>
      <c r="L390" s="16"/>
      <c r="N390" s="17"/>
      <c r="P390" s="16"/>
      <c r="R390" s="17"/>
      <c r="T390" s="16"/>
      <c r="V390" s="17"/>
      <c r="AH390" s="20"/>
      <c r="AI390" s="20"/>
      <c r="AJ390" s="36"/>
      <c r="AM390" s="22"/>
      <c r="AO390" s="34"/>
    </row>
    <row r="391">
      <c r="D391" s="16"/>
      <c r="F391" s="17"/>
      <c r="H391" s="16"/>
      <c r="J391" s="17"/>
      <c r="L391" s="16"/>
      <c r="N391" s="17"/>
      <c r="P391" s="16"/>
      <c r="R391" s="17"/>
      <c r="T391" s="16"/>
      <c r="V391" s="17"/>
      <c r="AH391" s="20"/>
      <c r="AI391" s="20"/>
      <c r="AJ391" s="36"/>
      <c r="AM391" s="22"/>
      <c r="AO391" s="34"/>
    </row>
    <row r="392">
      <c r="D392" s="16"/>
      <c r="F392" s="17"/>
      <c r="H392" s="16"/>
      <c r="J392" s="17"/>
      <c r="L392" s="16"/>
      <c r="N392" s="17"/>
      <c r="P392" s="16"/>
      <c r="R392" s="17"/>
      <c r="T392" s="16"/>
      <c r="V392" s="17"/>
      <c r="AH392" s="20"/>
      <c r="AI392" s="20"/>
      <c r="AJ392" s="36"/>
      <c r="AM392" s="22"/>
      <c r="AO392" s="34"/>
    </row>
    <row r="393">
      <c r="D393" s="16"/>
      <c r="F393" s="17"/>
      <c r="H393" s="16"/>
      <c r="J393" s="17"/>
      <c r="L393" s="16"/>
      <c r="N393" s="17"/>
      <c r="P393" s="16"/>
      <c r="R393" s="17"/>
      <c r="T393" s="16"/>
      <c r="V393" s="17"/>
      <c r="AH393" s="20"/>
      <c r="AI393" s="20"/>
      <c r="AJ393" s="36"/>
      <c r="AM393" s="22"/>
      <c r="AO393" s="34"/>
    </row>
    <row r="394">
      <c r="D394" s="16"/>
      <c r="F394" s="17"/>
      <c r="H394" s="16"/>
      <c r="J394" s="17"/>
      <c r="L394" s="16"/>
      <c r="N394" s="17"/>
      <c r="P394" s="16"/>
      <c r="R394" s="17"/>
      <c r="T394" s="16"/>
      <c r="V394" s="17"/>
      <c r="AH394" s="20"/>
      <c r="AI394" s="20"/>
      <c r="AJ394" s="36"/>
      <c r="AM394" s="22"/>
      <c r="AO394" s="34"/>
    </row>
    <row r="395">
      <c r="D395" s="16"/>
      <c r="F395" s="17"/>
      <c r="H395" s="16"/>
      <c r="J395" s="17"/>
      <c r="L395" s="16"/>
      <c r="N395" s="17"/>
      <c r="P395" s="16"/>
      <c r="R395" s="17"/>
      <c r="T395" s="16"/>
      <c r="V395" s="17"/>
      <c r="AH395" s="20"/>
      <c r="AI395" s="20"/>
      <c r="AJ395" s="36"/>
      <c r="AM395" s="22"/>
      <c r="AO395" s="34"/>
    </row>
    <row r="396">
      <c r="D396" s="16"/>
      <c r="F396" s="17"/>
      <c r="H396" s="16"/>
      <c r="J396" s="17"/>
      <c r="L396" s="16"/>
      <c r="N396" s="17"/>
      <c r="P396" s="16"/>
      <c r="R396" s="17"/>
      <c r="T396" s="16"/>
      <c r="V396" s="17"/>
      <c r="AH396" s="20"/>
      <c r="AI396" s="20"/>
      <c r="AJ396" s="36"/>
      <c r="AM396" s="22"/>
      <c r="AO396" s="34"/>
    </row>
    <row r="397">
      <c r="D397" s="16"/>
      <c r="F397" s="17"/>
      <c r="H397" s="16"/>
      <c r="J397" s="17"/>
      <c r="L397" s="16"/>
      <c r="N397" s="17"/>
      <c r="P397" s="16"/>
      <c r="R397" s="17"/>
      <c r="T397" s="16"/>
      <c r="V397" s="17"/>
      <c r="AH397" s="20"/>
      <c r="AI397" s="20"/>
      <c r="AJ397" s="36"/>
      <c r="AM397" s="22"/>
      <c r="AO397" s="34"/>
    </row>
    <row r="398">
      <c r="D398" s="16"/>
      <c r="F398" s="17"/>
      <c r="H398" s="16"/>
      <c r="J398" s="17"/>
      <c r="L398" s="16"/>
      <c r="N398" s="17"/>
      <c r="P398" s="16"/>
      <c r="R398" s="17"/>
      <c r="T398" s="16"/>
      <c r="V398" s="17"/>
      <c r="AH398" s="20"/>
      <c r="AI398" s="20"/>
      <c r="AJ398" s="36"/>
      <c r="AM398" s="22"/>
      <c r="AO398" s="34"/>
    </row>
    <row r="399">
      <c r="D399" s="16"/>
      <c r="F399" s="17"/>
      <c r="H399" s="16"/>
      <c r="J399" s="17"/>
      <c r="L399" s="16"/>
      <c r="N399" s="17"/>
      <c r="P399" s="16"/>
      <c r="R399" s="17"/>
      <c r="T399" s="16"/>
      <c r="V399" s="17"/>
      <c r="AH399" s="20"/>
      <c r="AI399" s="20"/>
      <c r="AJ399" s="36"/>
      <c r="AM399" s="22"/>
      <c r="AO399" s="34"/>
    </row>
    <row r="400">
      <c r="D400" s="16"/>
      <c r="F400" s="17"/>
      <c r="H400" s="16"/>
      <c r="J400" s="17"/>
      <c r="L400" s="16"/>
      <c r="N400" s="17"/>
      <c r="P400" s="16"/>
      <c r="R400" s="17"/>
      <c r="T400" s="16"/>
      <c r="V400" s="17"/>
      <c r="AH400" s="20"/>
      <c r="AI400" s="20"/>
      <c r="AJ400" s="36"/>
      <c r="AM400" s="22"/>
      <c r="AO400" s="34"/>
    </row>
    <row r="401">
      <c r="D401" s="16"/>
      <c r="F401" s="17"/>
      <c r="H401" s="16"/>
      <c r="J401" s="17"/>
      <c r="L401" s="16"/>
      <c r="N401" s="17"/>
      <c r="P401" s="16"/>
      <c r="R401" s="17"/>
      <c r="T401" s="16"/>
      <c r="V401" s="17"/>
      <c r="AH401" s="20"/>
      <c r="AI401" s="20"/>
      <c r="AJ401" s="36"/>
      <c r="AM401" s="22"/>
      <c r="AO401" s="34"/>
    </row>
    <row r="402">
      <c r="D402" s="16"/>
      <c r="F402" s="17"/>
      <c r="H402" s="16"/>
      <c r="J402" s="17"/>
      <c r="L402" s="16"/>
      <c r="N402" s="17"/>
      <c r="P402" s="16"/>
      <c r="R402" s="17"/>
      <c r="T402" s="16"/>
      <c r="V402" s="17"/>
      <c r="AH402" s="20"/>
      <c r="AI402" s="20"/>
      <c r="AJ402" s="36"/>
      <c r="AM402" s="22"/>
      <c r="AO402" s="34"/>
    </row>
    <row r="403">
      <c r="D403" s="16"/>
      <c r="F403" s="17"/>
      <c r="H403" s="16"/>
      <c r="J403" s="17"/>
      <c r="L403" s="16"/>
      <c r="N403" s="17"/>
      <c r="P403" s="16"/>
      <c r="R403" s="17"/>
      <c r="T403" s="16"/>
      <c r="V403" s="17"/>
      <c r="AH403" s="20"/>
      <c r="AI403" s="20"/>
      <c r="AJ403" s="36"/>
      <c r="AM403" s="22"/>
      <c r="AO403" s="34"/>
    </row>
    <row r="404">
      <c r="D404" s="16"/>
      <c r="F404" s="17"/>
      <c r="H404" s="16"/>
      <c r="J404" s="17"/>
      <c r="L404" s="16"/>
      <c r="N404" s="17"/>
      <c r="P404" s="16"/>
      <c r="R404" s="17"/>
      <c r="T404" s="16"/>
      <c r="V404" s="17"/>
      <c r="AH404" s="20"/>
      <c r="AI404" s="20"/>
      <c r="AJ404" s="36"/>
      <c r="AM404" s="22"/>
      <c r="AO404" s="34"/>
    </row>
    <row r="405">
      <c r="D405" s="16"/>
      <c r="F405" s="17"/>
      <c r="H405" s="16"/>
      <c r="J405" s="17"/>
      <c r="L405" s="16"/>
      <c r="N405" s="17"/>
      <c r="P405" s="16"/>
      <c r="R405" s="17"/>
      <c r="T405" s="16"/>
      <c r="V405" s="17"/>
      <c r="AH405" s="20"/>
      <c r="AI405" s="20"/>
      <c r="AJ405" s="36"/>
      <c r="AM405" s="22"/>
      <c r="AO405" s="34"/>
    </row>
    <row r="406">
      <c r="D406" s="16"/>
      <c r="F406" s="17"/>
      <c r="H406" s="16"/>
      <c r="J406" s="17"/>
      <c r="L406" s="16"/>
      <c r="N406" s="17"/>
      <c r="P406" s="16"/>
      <c r="R406" s="17"/>
      <c r="T406" s="16"/>
      <c r="V406" s="17"/>
      <c r="AH406" s="20"/>
      <c r="AI406" s="20"/>
      <c r="AJ406" s="36"/>
      <c r="AM406" s="22"/>
      <c r="AO406" s="34"/>
    </row>
    <row r="407">
      <c r="D407" s="16"/>
      <c r="F407" s="17"/>
      <c r="H407" s="16"/>
      <c r="J407" s="17"/>
      <c r="L407" s="16"/>
      <c r="N407" s="17"/>
      <c r="P407" s="16"/>
      <c r="R407" s="17"/>
      <c r="T407" s="16"/>
      <c r="V407" s="17"/>
      <c r="AH407" s="20"/>
      <c r="AI407" s="20"/>
      <c r="AJ407" s="36"/>
      <c r="AM407" s="22"/>
      <c r="AO407" s="34"/>
    </row>
    <row r="408">
      <c r="D408" s="16"/>
      <c r="F408" s="17"/>
      <c r="H408" s="16"/>
      <c r="J408" s="17"/>
      <c r="L408" s="16"/>
      <c r="N408" s="17"/>
      <c r="P408" s="16"/>
      <c r="R408" s="17"/>
      <c r="T408" s="16"/>
      <c r="V408" s="17"/>
      <c r="AH408" s="20"/>
      <c r="AI408" s="20"/>
      <c r="AJ408" s="36"/>
      <c r="AM408" s="22"/>
      <c r="AO408" s="34"/>
    </row>
    <row r="409">
      <c r="D409" s="16"/>
      <c r="F409" s="17"/>
      <c r="H409" s="16"/>
      <c r="J409" s="17"/>
      <c r="L409" s="16"/>
      <c r="N409" s="17"/>
      <c r="P409" s="16"/>
      <c r="R409" s="17"/>
      <c r="T409" s="16"/>
      <c r="V409" s="17"/>
      <c r="AH409" s="20"/>
      <c r="AI409" s="20"/>
      <c r="AJ409" s="36"/>
      <c r="AM409" s="22"/>
      <c r="AO409" s="34"/>
    </row>
    <row r="410">
      <c r="D410" s="16"/>
      <c r="F410" s="17"/>
      <c r="H410" s="16"/>
      <c r="J410" s="17"/>
      <c r="L410" s="16"/>
      <c r="N410" s="17"/>
      <c r="P410" s="16"/>
      <c r="R410" s="17"/>
      <c r="T410" s="16"/>
      <c r="V410" s="17"/>
      <c r="AH410" s="20"/>
      <c r="AI410" s="20"/>
      <c r="AJ410" s="36"/>
      <c r="AM410" s="22"/>
      <c r="AO410" s="34"/>
    </row>
    <row r="411">
      <c r="D411" s="16"/>
      <c r="F411" s="17"/>
      <c r="H411" s="16"/>
      <c r="J411" s="17"/>
      <c r="L411" s="16"/>
      <c r="N411" s="17"/>
      <c r="P411" s="16"/>
      <c r="R411" s="17"/>
      <c r="T411" s="16"/>
      <c r="V411" s="17"/>
      <c r="AH411" s="20"/>
      <c r="AI411" s="20"/>
      <c r="AJ411" s="36"/>
      <c r="AM411" s="22"/>
      <c r="AO411" s="34"/>
    </row>
    <row r="412">
      <c r="D412" s="16"/>
      <c r="F412" s="17"/>
      <c r="H412" s="16"/>
      <c r="J412" s="17"/>
      <c r="L412" s="16"/>
      <c r="N412" s="17"/>
      <c r="P412" s="16"/>
      <c r="R412" s="17"/>
      <c r="T412" s="16"/>
      <c r="V412" s="17"/>
      <c r="AH412" s="20"/>
      <c r="AI412" s="20"/>
      <c r="AJ412" s="36"/>
      <c r="AM412" s="22"/>
      <c r="AO412" s="34"/>
    </row>
    <row r="413">
      <c r="D413" s="16"/>
      <c r="F413" s="17"/>
      <c r="H413" s="16"/>
      <c r="J413" s="17"/>
      <c r="L413" s="16"/>
      <c r="N413" s="17"/>
      <c r="P413" s="16"/>
      <c r="R413" s="17"/>
      <c r="T413" s="16"/>
      <c r="V413" s="17"/>
      <c r="AH413" s="20"/>
      <c r="AI413" s="20"/>
      <c r="AJ413" s="36"/>
      <c r="AM413" s="22"/>
      <c r="AO413" s="34"/>
    </row>
    <row r="414">
      <c r="D414" s="16"/>
      <c r="F414" s="17"/>
      <c r="H414" s="16"/>
      <c r="J414" s="17"/>
      <c r="L414" s="16"/>
      <c r="N414" s="17"/>
      <c r="P414" s="16"/>
      <c r="R414" s="17"/>
      <c r="T414" s="16"/>
      <c r="V414" s="17"/>
      <c r="AH414" s="20"/>
      <c r="AI414" s="20"/>
      <c r="AJ414" s="36"/>
      <c r="AM414" s="22"/>
      <c r="AO414" s="34"/>
    </row>
    <row r="415">
      <c r="D415" s="16"/>
      <c r="F415" s="17"/>
      <c r="H415" s="16"/>
      <c r="J415" s="17"/>
      <c r="L415" s="16"/>
      <c r="N415" s="17"/>
      <c r="P415" s="16"/>
      <c r="R415" s="17"/>
      <c r="T415" s="16"/>
      <c r="V415" s="17"/>
      <c r="AH415" s="20"/>
      <c r="AI415" s="20"/>
      <c r="AJ415" s="36"/>
      <c r="AM415" s="22"/>
      <c r="AO415" s="34"/>
    </row>
    <row r="416">
      <c r="D416" s="16"/>
      <c r="F416" s="17"/>
      <c r="H416" s="16"/>
      <c r="J416" s="17"/>
      <c r="L416" s="16"/>
      <c r="N416" s="17"/>
      <c r="P416" s="16"/>
      <c r="R416" s="17"/>
      <c r="T416" s="16"/>
      <c r="V416" s="17"/>
      <c r="AH416" s="20"/>
      <c r="AI416" s="20"/>
      <c r="AJ416" s="36"/>
      <c r="AM416" s="22"/>
      <c r="AO416" s="34"/>
    </row>
    <row r="417">
      <c r="D417" s="16"/>
      <c r="F417" s="17"/>
      <c r="H417" s="16"/>
      <c r="J417" s="17"/>
      <c r="L417" s="16"/>
      <c r="N417" s="17"/>
      <c r="P417" s="16"/>
      <c r="R417" s="17"/>
      <c r="T417" s="16"/>
      <c r="V417" s="17"/>
      <c r="AH417" s="20"/>
      <c r="AI417" s="20"/>
      <c r="AJ417" s="36"/>
      <c r="AM417" s="22"/>
      <c r="AO417" s="34"/>
    </row>
    <row r="418">
      <c r="D418" s="16"/>
      <c r="F418" s="17"/>
      <c r="H418" s="16"/>
      <c r="J418" s="17"/>
      <c r="L418" s="16"/>
      <c r="N418" s="17"/>
      <c r="P418" s="16"/>
      <c r="R418" s="17"/>
      <c r="T418" s="16"/>
      <c r="V418" s="17"/>
      <c r="AH418" s="20"/>
      <c r="AI418" s="20"/>
      <c r="AJ418" s="36"/>
      <c r="AM418" s="22"/>
      <c r="AO418" s="34"/>
    </row>
    <row r="419">
      <c r="D419" s="16"/>
      <c r="F419" s="17"/>
      <c r="H419" s="16"/>
      <c r="J419" s="17"/>
      <c r="L419" s="16"/>
      <c r="N419" s="17"/>
      <c r="P419" s="16"/>
      <c r="R419" s="17"/>
      <c r="T419" s="16"/>
      <c r="V419" s="17"/>
      <c r="AH419" s="20"/>
      <c r="AI419" s="20"/>
      <c r="AJ419" s="36"/>
      <c r="AM419" s="22"/>
      <c r="AO419" s="34"/>
    </row>
    <row r="420">
      <c r="D420" s="16"/>
      <c r="F420" s="17"/>
      <c r="H420" s="16"/>
      <c r="J420" s="17"/>
      <c r="L420" s="16"/>
      <c r="N420" s="17"/>
      <c r="P420" s="16"/>
      <c r="R420" s="17"/>
      <c r="T420" s="16"/>
      <c r="V420" s="17"/>
      <c r="AH420" s="20"/>
      <c r="AI420" s="20"/>
      <c r="AJ420" s="36"/>
      <c r="AM420" s="22"/>
      <c r="AO420" s="34"/>
    </row>
    <row r="421">
      <c r="D421" s="16"/>
      <c r="F421" s="17"/>
      <c r="H421" s="16"/>
      <c r="J421" s="17"/>
      <c r="L421" s="16"/>
      <c r="N421" s="17"/>
      <c r="P421" s="16"/>
      <c r="R421" s="17"/>
      <c r="T421" s="16"/>
      <c r="V421" s="17"/>
      <c r="AH421" s="20"/>
      <c r="AI421" s="20"/>
      <c r="AJ421" s="36"/>
      <c r="AM421" s="22"/>
      <c r="AO421" s="34"/>
    </row>
    <row r="422">
      <c r="D422" s="16"/>
      <c r="F422" s="17"/>
      <c r="H422" s="16"/>
      <c r="J422" s="17"/>
      <c r="L422" s="16"/>
      <c r="N422" s="17"/>
      <c r="P422" s="16"/>
      <c r="R422" s="17"/>
      <c r="T422" s="16"/>
      <c r="V422" s="17"/>
      <c r="AH422" s="20"/>
      <c r="AI422" s="20"/>
      <c r="AJ422" s="36"/>
      <c r="AM422" s="22"/>
      <c r="AO422" s="34"/>
    </row>
    <row r="423">
      <c r="D423" s="16"/>
      <c r="F423" s="17"/>
      <c r="H423" s="16"/>
      <c r="J423" s="17"/>
      <c r="L423" s="16"/>
      <c r="N423" s="17"/>
      <c r="P423" s="16"/>
      <c r="R423" s="17"/>
      <c r="T423" s="16"/>
      <c r="V423" s="17"/>
      <c r="AH423" s="20"/>
      <c r="AI423" s="20"/>
      <c r="AJ423" s="36"/>
      <c r="AM423" s="22"/>
      <c r="AO423" s="34"/>
    </row>
    <row r="424">
      <c r="D424" s="16"/>
      <c r="F424" s="17"/>
      <c r="H424" s="16"/>
      <c r="J424" s="17"/>
      <c r="L424" s="16"/>
      <c r="N424" s="17"/>
      <c r="P424" s="16"/>
      <c r="R424" s="17"/>
      <c r="T424" s="16"/>
      <c r="V424" s="17"/>
      <c r="AH424" s="20"/>
      <c r="AI424" s="20"/>
      <c r="AJ424" s="36"/>
      <c r="AM424" s="22"/>
      <c r="AO424" s="34"/>
    </row>
    <row r="425">
      <c r="D425" s="16"/>
      <c r="F425" s="17"/>
      <c r="H425" s="16"/>
      <c r="J425" s="17"/>
      <c r="L425" s="16"/>
      <c r="N425" s="17"/>
      <c r="P425" s="16"/>
      <c r="R425" s="17"/>
      <c r="T425" s="16"/>
      <c r="V425" s="17"/>
      <c r="AH425" s="20"/>
      <c r="AI425" s="20"/>
      <c r="AJ425" s="36"/>
      <c r="AM425" s="22"/>
      <c r="AO425" s="34"/>
    </row>
    <row r="426">
      <c r="D426" s="16"/>
      <c r="F426" s="17"/>
      <c r="H426" s="16"/>
      <c r="J426" s="17"/>
      <c r="L426" s="16"/>
      <c r="N426" s="17"/>
      <c r="P426" s="16"/>
      <c r="R426" s="17"/>
      <c r="T426" s="16"/>
      <c r="V426" s="17"/>
      <c r="AH426" s="20"/>
      <c r="AI426" s="20"/>
      <c r="AJ426" s="36"/>
      <c r="AM426" s="22"/>
      <c r="AO426" s="34"/>
    </row>
    <row r="427">
      <c r="D427" s="16"/>
      <c r="F427" s="17"/>
      <c r="H427" s="16"/>
      <c r="J427" s="17"/>
      <c r="L427" s="16"/>
      <c r="N427" s="17"/>
      <c r="P427" s="16"/>
      <c r="R427" s="17"/>
      <c r="T427" s="16"/>
      <c r="V427" s="17"/>
      <c r="AH427" s="20"/>
      <c r="AI427" s="20"/>
      <c r="AJ427" s="36"/>
      <c r="AM427" s="22"/>
      <c r="AO427" s="34"/>
    </row>
    <row r="428">
      <c r="D428" s="16"/>
      <c r="F428" s="17"/>
      <c r="H428" s="16"/>
      <c r="J428" s="17"/>
      <c r="L428" s="16"/>
      <c r="N428" s="17"/>
      <c r="P428" s="16"/>
      <c r="R428" s="17"/>
      <c r="T428" s="16"/>
      <c r="V428" s="17"/>
      <c r="AH428" s="20"/>
      <c r="AI428" s="20"/>
      <c r="AJ428" s="36"/>
      <c r="AM428" s="22"/>
      <c r="AO428" s="34"/>
    </row>
    <row r="429">
      <c r="D429" s="16"/>
      <c r="F429" s="17"/>
      <c r="H429" s="16"/>
      <c r="J429" s="17"/>
      <c r="L429" s="16"/>
      <c r="N429" s="17"/>
      <c r="P429" s="16"/>
      <c r="R429" s="17"/>
      <c r="T429" s="16"/>
      <c r="V429" s="17"/>
      <c r="AH429" s="20"/>
      <c r="AI429" s="20"/>
      <c r="AJ429" s="36"/>
      <c r="AM429" s="22"/>
      <c r="AO429" s="34"/>
    </row>
    <row r="430">
      <c r="D430" s="16"/>
      <c r="F430" s="17"/>
      <c r="H430" s="16"/>
      <c r="J430" s="17"/>
      <c r="L430" s="16"/>
      <c r="N430" s="17"/>
      <c r="P430" s="16"/>
      <c r="R430" s="17"/>
      <c r="T430" s="16"/>
      <c r="V430" s="17"/>
      <c r="AH430" s="20"/>
      <c r="AI430" s="20"/>
      <c r="AJ430" s="36"/>
      <c r="AM430" s="22"/>
      <c r="AO430" s="34"/>
    </row>
    <row r="431">
      <c r="D431" s="16"/>
      <c r="F431" s="17"/>
      <c r="H431" s="16"/>
      <c r="J431" s="17"/>
      <c r="L431" s="16"/>
      <c r="N431" s="17"/>
      <c r="P431" s="16"/>
      <c r="R431" s="17"/>
      <c r="T431" s="16"/>
      <c r="V431" s="17"/>
      <c r="AH431" s="20"/>
      <c r="AI431" s="20"/>
      <c r="AJ431" s="36"/>
      <c r="AM431" s="22"/>
      <c r="AO431" s="34"/>
    </row>
    <row r="432">
      <c r="D432" s="16"/>
      <c r="F432" s="17"/>
      <c r="H432" s="16"/>
      <c r="J432" s="17"/>
      <c r="L432" s="16"/>
      <c r="N432" s="17"/>
      <c r="P432" s="16"/>
      <c r="R432" s="17"/>
      <c r="T432" s="16"/>
      <c r="V432" s="17"/>
      <c r="AH432" s="20"/>
      <c r="AI432" s="20"/>
      <c r="AJ432" s="36"/>
      <c r="AM432" s="22"/>
      <c r="AO432" s="34"/>
    </row>
    <row r="433">
      <c r="D433" s="16"/>
      <c r="F433" s="17"/>
      <c r="H433" s="16"/>
      <c r="J433" s="17"/>
      <c r="L433" s="16"/>
      <c r="N433" s="17"/>
      <c r="P433" s="16"/>
      <c r="R433" s="17"/>
      <c r="T433" s="16"/>
      <c r="V433" s="17"/>
      <c r="AH433" s="20"/>
      <c r="AI433" s="20"/>
      <c r="AJ433" s="36"/>
      <c r="AM433" s="22"/>
      <c r="AO433" s="34"/>
    </row>
    <row r="434">
      <c r="D434" s="16"/>
      <c r="F434" s="17"/>
      <c r="H434" s="16"/>
      <c r="J434" s="17"/>
      <c r="L434" s="16"/>
      <c r="N434" s="17"/>
      <c r="P434" s="16"/>
      <c r="R434" s="17"/>
      <c r="T434" s="16"/>
      <c r="V434" s="17"/>
      <c r="AH434" s="20"/>
      <c r="AI434" s="20"/>
      <c r="AJ434" s="36"/>
      <c r="AM434" s="22"/>
      <c r="AO434" s="34"/>
    </row>
    <row r="435">
      <c r="D435" s="16"/>
      <c r="F435" s="17"/>
      <c r="H435" s="16"/>
      <c r="J435" s="17"/>
      <c r="L435" s="16"/>
      <c r="N435" s="17"/>
      <c r="P435" s="16"/>
      <c r="R435" s="17"/>
      <c r="T435" s="16"/>
      <c r="V435" s="17"/>
      <c r="AH435" s="20"/>
      <c r="AI435" s="20"/>
      <c r="AJ435" s="36"/>
      <c r="AM435" s="22"/>
      <c r="AO435" s="34"/>
    </row>
    <row r="436">
      <c r="D436" s="16"/>
      <c r="F436" s="17"/>
      <c r="H436" s="16"/>
      <c r="J436" s="17"/>
      <c r="L436" s="16"/>
      <c r="N436" s="17"/>
      <c r="P436" s="16"/>
      <c r="R436" s="17"/>
      <c r="T436" s="16"/>
      <c r="V436" s="17"/>
      <c r="AH436" s="20"/>
      <c r="AI436" s="20"/>
      <c r="AJ436" s="36"/>
      <c r="AM436" s="22"/>
      <c r="AO436" s="34"/>
    </row>
    <row r="437">
      <c r="D437" s="16"/>
      <c r="F437" s="17"/>
      <c r="H437" s="16"/>
      <c r="J437" s="17"/>
      <c r="L437" s="16"/>
      <c r="N437" s="17"/>
      <c r="P437" s="16"/>
      <c r="R437" s="17"/>
      <c r="T437" s="16"/>
      <c r="V437" s="17"/>
      <c r="AH437" s="20"/>
      <c r="AI437" s="20"/>
      <c r="AJ437" s="36"/>
      <c r="AM437" s="22"/>
      <c r="AO437" s="34"/>
    </row>
    <row r="438">
      <c r="D438" s="16"/>
      <c r="F438" s="17"/>
      <c r="H438" s="16"/>
      <c r="J438" s="17"/>
      <c r="L438" s="16"/>
      <c r="N438" s="17"/>
      <c r="P438" s="16"/>
      <c r="R438" s="17"/>
      <c r="T438" s="16"/>
      <c r="V438" s="17"/>
      <c r="AH438" s="20"/>
      <c r="AI438" s="20"/>
      <c r="AJ438" s="36"/>
      <c r="AM438" s="22"/>
      <c r="AO438" s="34"/>
    </row>
    <row r="439">
      <c r="D439" s="16"/>
      <c r="F439" s="17"/>
      <c r="H439" s="16"/>
      <c r="J439" s="17"/>
      <c r="L439" s="16"/>
      <c r="N439" s="17"/>
      <c r="P439" s="16"/>
      <c r="R439" s="17"/>
      <c r="T439" s="16"/>
      <c r="V439" s="17"/>
      <c r="AH439" s="20"/>
      <c r="AI439" s="20"/>
      <c r="AJ439" s="36"/>
      <c r="AM439" s="22"/>
      <c r="AO439" s="34"/>
    </row>
    <row r="440">
      <c r="D440" s="16"/>
      <c r="F440" s="17"/>
      <c r="H440" s="16"/>
      <c r="J440" s="17"/>
      <c r="L440" s="16"/>
      <c r="N440" s="17"/>
      <c r="P440" s="16"/>
      <c r="R440" s="17"/>
      <c r="T440" s="16"/>
      <c r="V440" s="17"/>
      <c r="AH440" s="20"/>
      <c r="AI440" s="20"/>
      <c r="AJ440" s="36"/>
      <c r="AM440" s="22"/>
      <c r="AO440" s="34"/>
    </row>
    <row r="441">
      <c r="D441" s="16"/>
      <c r="F441" s="17"/>
      <c r="H441" s="16"/>
      <c r="J441" s="17"/>
      <c r="L441" s="16"/>
      <c r="N441" s="17"/>
      <c r="P441" s="16"/>
      <c r="R441" s="17"/>
      <c r="T441" s="16"/>
      <c r="V441" s="17"/>
      <c r="AH441" s="20"/>
      <c r="AI441" s="20"/>
      <c r="AJ441" s="36"/>
      <c r="AM441" s="22"/>
      <c r="AO441" s="34"/>
    </row>
    <row r="442">
      <c r="D442" s="16"/>
      <c r="F442" s="17"/>
      <c r="H442" s="16"/>
      <c r="J442" s="17"/>
      <c r="L442" s="16"/>
      <c r="N442" s="17"/>
      <c r="P442" s="16"/>
      <c r="R442" s="17"/>
      <c r="T442" s="16"/>
      <c r="V442" s="17"/>
      <c r="AH442" s="20"/>
      <c r="AI442" s="20"/>
      <c r="AJ442" s="36"/>
      <c r="AM442" s="22"/>
      <c r="AO442" s="34"/>
    </row>
    <row r="443">
      <c r="D443" s="16"/>
      <c r="F443" s="17"/>
      <c r="H443" s="16"/>
      <c r="J443" s="17"/>
      <c r="L443" s="16"/>
      <c r="N443" s="17"/>
      <c r="P443" s="16"/>
      <c r="R443" s="17"/>
      <c r="T443" s="16"/>
      <c r="V443" s="17"/>
      <c r="AH443" s="20"/>
      <c r="AI443" s="20"/>
      <c r="AJ443" s="36"/>
      <c r="AM443" s="22"/>
      <c r="AO443" s="34"/>
    </row>
    <row r="444">
      <c r="D444" s="16"/>
      <c r="F444" s="17"/>
      <c r="H444" s="16"/>
      <c r="J444" s="17"/>
      <c r="L444" s="16"/>
      <c r="N444" s="17"/>
      <c r="P444" s="16"/>
      <c r="R444" s="17"/>
      <c r="T444" s="16"/>
      <c r="V444" s="17"/>
      <c r="AH444" s="20"/>
      <c r="AI444" s="20"/>
      <c r="AJ444" s="36"/>
      <c r="AM444" s="22"/>
      <c r="AO444" s="34"/>
    </row>
    <row r="445">
      <c r="D445" s="16"/>
      <c r="F445" s="17"/>
      <c r="H445" s="16"/>
      <c r="J445" s="17"/>
      <c r="L445" s="16"/>
      <c r="N445" s="17"/>
      <c r="P445" s="16"/>
      <c r="R445" s="17"/>
      <c r="T445" s="16"/>
      <c r="V445" s="17"/>
      <c r="AH445" s="20"/>
      <c r="AI445" s="20"/>
      <c r="AJ445" s="36"/>
      <c r="AM445" s="22"/>
      <c r="AO445" s="34"/>
    </row>
    <row r="446">
      <c r="D446" s="16"/>
      <c r="F446" s="17"/>
      <c r="H446" s="16"/>
      <c r="J446" s="17"/>
      <c r="L446" s="16"/>
      <c r="N446" s="17"/>
      <c r="P446" s="16"/>
      <c r="R446" s="17"/>
      <c r="T446" s="16"/>
      <c r="V446" s="17"/>
      <c r="AH446" s="20"/>
      <c r="AI446" s="20"/>
      <c r="AJ446" s="36"/>
      <c r="AM446" s="22"/>
      <c r="AO446" s="34"/>
    </row>
    <row r="447">
      <c r="D447" s="16"/>
      <c r="F447" s="17"/>
      <c r="H447" s="16"/>
      <c r="J447" s="17"/>
      <c r="L447" s="16"/>
      <c r="N447" s="17"/>
      <c r="P447" s="16"/>
      <c r="R447" s="17"/>
      <c r="T447" s="16"/>
      <c r="V447" s="17"/>
      <c r="AH447" s="20"/>
      <c r="AI447" s="20"/>
      <c r="AJ447" s="36"/>
      <c r="AM447" s="22"/>
      <c r="AO447" s="34"/>
    </row>
    <row r="448">
      <c r="D448" s="16"/>
      <c r="F448" s="17"/>
      <c r="H448" s="16"/>
      <c r="J448" s="17"/>
      <c r="L448" s="16"/>
      <c r="N448" s="17"/>
      <c r="P448" s="16"/>
      <c r="R448" s="17"/>
      <c r="T448" s="16"/>
      <c r="V448" s="17"/>
      <c r="AH448" s="20"/>
      <c r="AI448" s="20"/>
      <c r="AJ448" s="36"/>
      <c r="AM448" s="22"/>
      <c r="AO448" s="34"/>
    </row>
    <row r="449">
      <c r="D449" s="16"/>
      <c r="F449" s="17"/>
      <c r="H449" s="16"/>
      <c r="J449" s="17"/>
      <c r="L449" s="16"/>
      <c r="N449" s="17"/>
      <c r="P449" s="16"/>
      <c r="R449" s="17"/>
      <c r="T449" s="16"/>
      <c r="V449" s="17"/>
      <c r="AH449" s="20"/>
      <c r="AI449" s="20"/>
      <c r="AJ449" s="36"/>
      <c r="AM449" s="22"/>
      <c r="AO449" s="34"/>
    </row>
    <row r="450">
      <c r="D450" s="16"/>
      <c r="F450" s="17"/>
      <c r="H450" s="16"/>
      <c r="J450" s="17"/>
      <c r="L450" s="16"/>
      <c r="N450" s="17"/>
      <c r="P450" s="16"/>
      <c r="R450" s="17"/>
      <c r="T450" s="16"/>
      <c r="V450" s="17"/>
      <c r="AH450" s="20"/>
      <c r="AI450" s="20"/>
      <c r="AJ450" s="36"/>
      <c r="AM450" s="22"/>
      <c r="AO450" s="34"/>
    </row>
    <row r="451">
      <c r="D451" s="16"/>
      <c r="F451" s="17"/>
      <c r="H451" s="16"/>
      <c r="J451" s="17"/>
      <c r="L451" s="16"/>
      <c r="N451" s="17"/>
      <c r="P451" s="16"/>
      <c r="R451" s="17"/>
      <c r="T451" s="16"/>
      <c r="V451" s="17"/>
      <c r="AH451" s="20"/>
      <c r="AI451" s="20"/>
      <c r="AJ451" s="36"/>
      <c r="AM451" s="22"/>
      <c r="AO451" s="34"/>
    </row>
    <row r="452">
      <c r="D452" s="16"/>
      <c r="F452" s="17"/>
      <c r="H452" s="16"/>
      <c r="J452" s="17"/>
      <c r="L452" s="16"/>
      <c r="N452" s="17"/>
      <c r="P452" s="16"/>
      <c r="R452" s="17"/>
      <c r="T452" s="16"/>
      <c r="V452" s="17"/>
      <c r="AH452" s="20"/>
      <c r="AI452" s="20"/>
      <c r="AJ452" s="36"/>
      <c r="AM452" s="22"/>
      <c r="AO452" s="34"/>
    </row>
    <row r="453">
      <c r="D453" s="16"/>
      <c r="F453" s="17"/>
      <c r="H453" s="16"/>
      <c r="J453" s="17"/>
      <c r="L453" s="16"/>
      <c r="N453" s="17"/>
      <c r="P453" s="16"/>
      <c r="R453" s="17"/>
      <c r="T453" s="16"/>
      <c r="V453" s="17"/>
      <c r="AH453" s="20"/>
      <c r="AI453" s="20"/>
      <c r="AJ453" s="36"/>
      <c r="AM453" s="22"/>
      <c r="AO453" s="34"/>
    </row>
    <row r="454">
      <c r="D454" s="16"/>
      <c r="F454" s="17"/>
      <c r="H454" s="16"/>
      <c r="J454" s="17"/>
      <c r="L454" s="16"/>
      <c r="N454" s="17"/>
      <c r="P454" s="16"/>
      <c r="R454" s="17"/>
      <c r="T454" s="16"/>
      <c r="V454" s="17"/>
      <c r="AH454" s="20"/>
      <c r="AI454" s="20"/>
      <c r="AJ454" s="36"/>
      <c r="AM454" s="22"/>
      <c r="AO454" s="34"/>
    </row>
    <row r="455">
      <c r="D455" s="16"/>
      <c r="F455" s="17"/>
      <c r="H455" s="16"/>
      <c r="J455" s="17"/>
      <c r="L455" s="16"/>
      <c r="N455" s="17"/>
      <c r="P455" s="16"/>
      <c r="R455" s="17"/>
      <c r="T455" s="16"/>
      <c r="V455" s="17"/>
      <c r="AH455" s="20"/>
      <c r="AI455" s="20"/>
      <c r="AJ455" s="36"/>
      <c r="AM455" s="22"/>
      <c r="AO455" s="34"/>
    </row>
    <row r="456">
      <c r="D456" s="16"/>
      <c r="F456" s="17"/>
      <c r="H456" s="16"/>
      <c r="J456" s="17"/>
      <c r="L456" s="16"/>
      <c r="N456" s="17"/>
      <c r="P456" s="16"/>
      <c r="R456" s="17"/>
      <c r="T456" s="16"/>
      <c r="V456" s="17"/>
      <c r="AH456" s="20"/>
      <c r="AI456" s="20"/>
      <c r="AJ456" s="36"/>
      <c r="AM456" s="22"/>
      <c r="AO456" s="34"/>
    </row>
    <row r="457">
      <c r="D457" s="16"/>
      <c r="F457" s="17"/>
      <c r="H457" s="16"/>
      <c r="J457" s="17"/>
      <c r="L457" s="16"/>
      <c r="N457" s="17"/>
      <c r="P457" s="16"/>
      <c r="R457" s="17"/>
      <c r="T457" s="16"/>
      <c r="V457" s="17"/>
      <c r="AH457" s="20"/>
      <c r="AI457" s="20"/>
      <c r="AJ457" s="36"/>
      <c r="AM457" s="22"/>
      <c r="AO457" s="34"/>
    </row>
    <row r="458">
      <c r="D458" s="16"/>
      <c r="F458" s="17"/>
      <c r="H458" s="16"/>
      <c r="J458" s="17"/>
      <c r="L458" s="16"/>
      <c r="N458" s="17"/>
      <c r="P458" s="16"/>
      <c r="R458" s="17"/>
      <c r="T458" s="16"/>
      <c r="V458" s="17"/>
      <c r="AH458" s="20"/>
      <c r="AI458" s="20"/>
      <c r="AJ458" s="36"/>
      <c r="AM458" s="22"/>
      <c r="AO458" s="34"/>
    </row>
    <row r="459">
      <c r="D459" s="16"/>
      <c r="F459" s="17"/>
      <c r="H459" s="16"/>
      <c r="J459" s="17"/>
      <c r="L459" s="16"/>
      <c r="N459" s="17"/>
      <c r="P459" s="16"/>
      <c r="R459" s="17"/>
      <c r="T459" s="16"/>
      <c r="V459" s="17"/>
      <c r="AH459" s="20"/>
      <c r="AI459" s="20"/>
      <c r="AJ459" s="36"/>
      <c r="AM459" s="22"/>
      <c r="AO459" s="34"/>
    </row>
    <row r="460">
      <c r="D460" s="16"/>
      <c r="F460" s="17"/>
      <c r="H460" s="16"/>
      <c r="J460" s="17"/>
      <c r="L460" s="16"/>
      <c r="N460" s="17"/>
      <c r="P460" s="16"/>
      <c r="R460" s="17"/>
      <c r="T460" s="16"/>
      <c r="V460" s="17"/>
      <c r="AH460" s="20"/>
      <c r="AI460" s="20"/>
      <c r="AJ460" s="36"/>
      <c r="AM460" s="22"/>
      <c r="AO460" s="34"/>
    </row>
    <row r="461">
      <c r="D461" s="16"/>
      <c r="F461" s="17"/>
      <c r="H461" s="16"/>
      <c r="J461" s="17"/>
      <c r="L461" s="16"/>
      <c r="N461" s="17"/>
      <c r="P461" s="16"/>
      <c r="R461" s="17"/>
      <c r="T461" s="16"/>
      <c r="V461" s="17"/>
      <c r="AH461" s="20"/>
      <c r="AI461" s="20"/>
      <c r="AJ461" s="36"/>
      <c r="AM461" s="22"/>
      <c r="AO461" s="34"/>
    </row>
    <row r="462">
      <c r="D462" s="16"/>
      <c r="F462" s="17"/>
      <c r="H462" s="16"/>
      <c r="J462" s="17"/>
      <c r="L462" s="16"/>
      <c r="N462" s="17"/>
      <c r="P462" s="16"/>
      <c r="R462" s="17"/>
      <c r="T462" s="16"/>
      <c r="V462" s="17"/>
      <c r="AH462" s="20"/>
      <c r="AI462" s="20"/>
      <c r="AJ462" s="36"/>
      <c r="AM462" s="22"/>
      <c r="AO462" s="34"/>
    </row>
    <row r="463">
      <c r="D463" s="16"/>
      <c r="F463" s="17"/>
      <c r="H463" s="16"/>
      <c r="J463" s="17"/>
      <c r="L463" s="16"/>
      <c r="N463" s="17"/>
      <c r="P463" s="16"/>
      <c r="R463" s="17"/>
      <c r="T463" s="16"/>
      <c r="V463" s="17"/>
      <c r="AH463" s="20"/>
      <c r="AI463" s="20"/>
      <c r="AJ463" s="36"/>
      <c r="AM463" s="22"/>
      <c r="AO463" s="34"/>
    </row>
    <row r="464">
      <c r="D464" s="16"/>
      <c r="F464" s="17"/>
      <c r="H464" s="16"/>
      <c r="J464" s="17"/>
      <c r="L464" s="16"/>
      <c r="N464" s="17"/>
      <c r="P464" s="16"/>
      <c r="R464" s="17"/>
      <c r="T464" s="16"/>
      <c r="V464" s="17"/>
      <c r="AH464" s="20"/>
      <c r="AI464" s="20"/>
      <c r="AJ464" s="36"/>
      <c r="AM464" s="22"/>
      <c r="AO464" s="34"/>
    </row>
    <row r="465">
      <c r="D465" s="16"/>
      <c r="F465" s="17"/>
      <c r="H465" s="16"/>
      <c r="J465" s="17"/>
      <c r="L465" s="16"/>
      <c r="N465" s="17"/>
      <c r="P465" s="16"/>
      <c r="R465" s="17"/>
      <c r="T465" s="16"/>
      <c r="V465" s="17"/>
      <c r="AH465" s="20"/>
      <c r="AI465" s="20"/>
      <c r="AJ465" s="36"/>
      <c r="AM465" s="22"/>
      <c r="AO465" s="34"/>
    </row>
    <row r="466">
      <c r="D466" s="16"/>
      <c r="F466" s="17"/>
      <c r="H466" s="16"/>
      <c r="J466" s="17"/>
      <c r="L466" s="16"/>
      <c r="N466" s="17"/>
      <c r="P466" s="16"/>
      <c r="R466" s="17"/>
      <c r="T466" s="16"/>
      <c r="V466" s="17"/>
      <c r="AH466" s="20"/>
      <c r="AI466" s="20"/>
      <c r="AJ466" s="36"/>
      <c r="AM466" s="22"/>
      <c r="AO466" s="34"/>
    </row>
    <row r="467">
      <c r="D467" s="16"/>
      <c r="F467" s="17"/>
      <c r="H467" s="16"/>
      <c r="J467" s="17"/>
      <c r="L467" s="16"/>
      <c r="N467" s="17"/>
      <c r="P467" s="16"/>
      <c r="R467" s="17"/>
      <c r="T467" s="16"/>
      <c r="V467" s="17"/>
      <c r="AH467" s="20"/>
      <c r="AI467" s="20"/>
      <c r="AJ467" s="36"/>
      <c r="AM467" s="22"/>
      <c r="AO467" s="34"/>
    </row>
    <row r="468">
      <c r="D468" s="16"/>
      <c r="F468" s="17"/>
      <c r="H468" s="16"/>
      <c r="J468" s="17"/>
      <c r="L468" s="16"/>
      <c r="N468" s="17"/>
      <c r="P468" s="16"/>
      <c r="R468" s="17"/>
      <c r="T468" s="16"/>
      <c r="V468" s="17"/>
      <c r="AH468" s="20"/>
      <c r="AI468" s="20"/>
      <c r="AJ468" s="36"/>
      <c r="AM468" s="22"/>
      <c r="AO468" s="34"/>
    </row>
    <row r="469">
      <c r="D469" s="16"/>
      <c r="F469" s="17"/>
      <c r="H469" s="16"/>
      <c r="J469" s="17"/>
      <c r="L469" s="16"/>
      <c r="N469" s="17"/>
      <c r="P469" s="16"/>
      <c r="R469" s="17"/>
      <c r="T469" s="16"/>
      <c r="V469" s="17"/>
      <c r="AH469" s="20"/>
      <c r="AI469" s="20"/>
      <c r="AJ469" s="36"/>
      <c r="AM469" s="22"/>
      <c r="AO469" s="34"/>
    </row>
    <row r="470">
      <c r="D470" s="16"/>
      <c r="F470" s="17"/>
      <c r="H470" s="16"/>
      <c r="J470" s="17"/>
      <c r="L470" s="16"/>
      <c r="N470" s="17"/>
      <c r="P470" s="16"/>
      <c r="R470" s="17"/>
      <c r="T470" s="16"/>
      <c r="V470" s="17"/>
      <c r="AH470" s="20"/>
      <c r="AI470" s="20"/>
      <c r="AJ470" s="36"/>
      <c r="AM470" s="22"/>
      <c r="AO470" s="34"/>
    </row>
    <row r="471">
      <c r="D471" s="16"/>
      <c r="F471" s="17"/>
      <c r="H471" s="16"/>
      <c r="J471" s="17"/>
      <c r="L471" s="16"/>
      <c r="N471" s="17"/>
      <c r="P471" s="16"/>
      <c r="R471" s="17"/>
      <c r="T471" s="16"/>
      <c r="V471" s="17"/>
      <c r="AH471" s="20"/>
      <c r="AI471" s="20"/>
      <c r="AJ471" s="36"/>
      <c r="AM471" s="22"/>
      <c r="AO471" s="34"/>
    </row>
    <row r="472">
      <c r="D472" s="16"/>
      <c r="F472" s="17"/>
      <c r="H472" s="16"/>
      <c r="J472" s="17"/>
      <c r="L472" s="16"/>
      <c r="N472" s="17"/>
      <c r="P472" s="16"/>
      <c r="R472" s="17"/>
      <c r="T472" s="16"/>
      <c r="V472" s="17"/>
      <c r="AH472" s="20"/>
      <c r="AI472" s="20"/>
      <c r="AJ472" s="36"/>
      <c r="AM472" s="22"/>
      <c r="AO472" s="34"/>
    </row>
    <row r="473">
      <c r="D473" s="16"/>
      <c r="F473" s="17"/>
      <c r="H473" s="16"/>
      <c r="J473" s="17"/>
      <c r="L473" s="16"/>
      <c r="N473" s="17"/>
      <c r="P473" s="16"/>
      <c r="R473" s="17"/>
      <c r="T473" s="16"/>
      <c r="V473" s="17"/>
      <c r="AH473" s="20"/>
      <c r="AI473" s="20"/>
      <c r="AJ473" s="36"/>
      <c r="AM473" s="22"/>
      <c r="AO473" s="34"/>
    </row>
    <row r="474">
      <c r="D474" s="16"/>
      <c r="F474" s="17"/>
      <c r="H474" s="16"/>
      <c r="J474" s="17"/>
      <c r="L474" s="16"/>
      <c r="N474" s="17"/>
      <c r="P474" s="16"/>
      <c r="R474" s="17"/>
      <c r="T474" s="16"/>
      <c r="V474" s="17"/>
      <c r="AH474" s="20"/>
      <c r="AI474" s="20"/>
      <c r="AJ474" s="36"/>
      <c r="AM474" s="22"/>
      <c r="AO474" s="34"/>
    </row>
    <row r="475">
      <c r="D475" s="16"/>
      <c r="F475" s="17"/>
      <c r="H475" s="16"/>
      <c r="J475" s="17"/>
      <c r="L475" s="16"/>
      <c r="N475" s="17"/>
      <c r="P475" s="16"/>
      <c r="R475" s="17"/>
      <c r="T475" s="16"/>
      <c r="V475" s="17"/>
      <c r="AH475" s="20"/>
      <c r="AI475" s="20"/>
      <c r="AJ475" s="36"/>
      <c r="AM475" s="22"/>
      <c r="AO475" s="34"/>
    </row>
    <row r="476">
      <c r="D476" s="16"/>
      <c r="F476" s="17"/>
      <c r="H476" s="16"/>
      <c r="J476" s="17"/>
      <c r="L476" s="16"/>
      <c r="N476" s="17"/>
      <c r="P476" s="16"/>
      <c r="R476" s="17"/>
      <c r="T476" s="16"/>
      <c r="V476" s="17"/>
      <c r="AH476" s="20"/>
      <c r="AI476" s="20"/>
      <c r="AJ476" s="36"/>
      <c r="AM476" s="22"/>
      <c r="AO476" s="34"/>
    </row>
    <row r="477">
      <c r="D477" s="16"/>
      <c r="F477" s="17"/>
      <c r="H477" s="16"/>
      <c r="J477" s="17"/>
      <c r="L477" s="16"/>
      <c r="N477" s="17"/>
      <c r="P477" s="16"/>
      <c r="R477" s="17"/>
      <c r="T477" s="16"/>
      <c r="V477" s="17"/>
      <c r="AH477" s="20"/>
      <c r="AI477" s="20"/>
      <c r="AJ477" s="36"/>
      <c r="AM477" s="22"/>
      <c r="AO477" s="34"/>
    </row>
    <row r="478">
      <c r="D478" s="16"/>
      <c r="F478" s="17"/>
      <c r="H478" s="16"/>
      <c r="J478" s="17"/>
      <c r="L478" s="16"/>
      <c r="N478" s="17"/>
      <c r="P478" s="16"/>
      <c r="R478" s="17"/>
      <c r="T478" s="16"/>
      <c r="V478" s="17"/>
      <c r="AH478" s="20"/>
      <c r="AI478" s="20"/>
      <c r="AJ478" s="36"/>
      <c r="AM478" s="22"/>
      <c r="AO478" s="34"/>
    </row>
    <row r="479">
      <c r="D479" s="16"/>
      <c r="F479" s="17"/>
      <c r="H479" s="16"/>
      <c r="J479" s="17"/>
      <c r="L479" s="16"/>
      <c r="N479" s="17"/>
      <c r="P479" s="16"/>
      <c r="R479" s="17"/>
      <c r="T479" s="16"/>
      <c r="V479" s="17"/>
      <c r="AH479" s="20"/>
      <c r="AI479" s="20"/>
      <c r="AJ479" s="36"/>
      <c r="AM479" s="22"/>
      <c r="AO479" s="34"/>
    </row>
    <row r="480">
      <c r="D480" s="16"/>
      <c r="F480" s="17"/>
      <c r="H480" s="16"/>
      <c r="J480" s="17"/>
      <c r="L480" s="16"/>
      <c r="N480" s="17"/>
      <c r="P480" s="16"/>
      <c r="R480" s="17"/>
      <c r="T480" s="16"/>
      <c r="V480" s="17"/>
      <c r="AH480" s="20"/>
      <c r="AI480" s="20"/>
      <c r="AJ480" s="36"/>
      <c r="AM480" s="22"/>
      <c r="AO480" s="34"/>
    </row>
    <row r="481">
      <c r="D481" s="16"/>
      <c r="F481" s="17"/>
      <c r="H481" s="16"/>
      <c r="J481" s="17"/>
      <c r="L481" s="16"/>
      <c r="N481" s="17"/>
      <c r="P481" s="16"/>
      <c r="R481" s="17"/>
      <c r="T481" s="16"/>
      <c r="V481" s="17"/>
      <c r="AH481" s="20"/>
      <c r="AI481" s="20"/>
      <c r="AJ481" s="36"/>
      <c r="AM481" s="22"/>
      <c r="AO481" s="34"/>
    </row>
    <row r="482">
      <c r="D482" s="16"/>
      <c r="F482" s="17"/>
      <c r="H482" s="16"/>
      <c r="J482" s="17"/>
      <c r="L482" s="16"/>
      <c r="N482" s="17"/>
      <c r="P482" s="16"/>
      <c r="R482" s="17"/>
      <c r="T482" s="16"/>
      <c r="V482" s="17"/>
      <c r="AH482" s="20"/>
      <c r="AI482" s="20"/>
      <c r="AJ482" s="36"/>
      <c r="AM482" s="22"/>
      <c r="AO482" s="34"/>
    </row>
    <row r="483">
      <c r="D483" s="16"/>
      <c r="F483" s="17"/>
      <c r="H483" s="16"/>
      <c r="J483" s="17"/>
      <c r="L483" s="16"/>
      <c r="N483" s="17"/>
      <c r="P483" s="16"/>
      <c r="R483" s="17"/>
      <c r="T483" s="16"/>
      <c r="V483" s="17"/>
      <c r="AH483" s="20"/>
      <c r="AI483" s="20"/>
      <c r="AJ483" s="36"/>
      <c r="AM483" s="22"/>
      <c r="AO483" s="34"/>
    </row>
    <row r="484">
      <c r="D484" s="16"/>
      <c r="F484" s="17"/>
      <c r="H484" s="16"/>
      <c r="J484" s="17"/>
      <c r="L484" s="16"/>
      <c r="N484" s="17"/>
      <c r="P484" s="16"/>
      <c r="R484" s="17"/>
      <c r="T484" s="16"/>
      <c r="V484" s="17"/>
      <c r="AH484" s="20"/>
      <c r="AI484" s="20"/>
      <c r="AJ484" s="36"/>
      <c r="AM484" s="22"/>
      <c r="AO484" s="34"/>
    </row>
    <row r="485">
      <c r="D485" s="16"/>
      <c r="F485" s="17"/>
      <c r="H485" s="16"/>
      <c r="J485" s="17"/>
      <c r="L485" s="16"/>
      <c r="N485" s="17"/>
      <c r="P485" s="16"/>
      <c r="R485" s="17"/>
      <c r="T485" s="16"/>
      <c r="V485" s="17"/>
      <c r="AH485" s="20"/>
      <c r="AI485" s="20"/>
      <c r="AJ485" s="36"/>
      <c r="AM485" s="22"/>
      <c r="AO485" s="34"/>
    </row>
    <row r="486">
      <c r="D486" s="16"/>
      <c r="F486" s="17"/>
      <c r="H486" s="16"/>
      <c r="J486" s="17"/>
      <c r="L486" s="16"/>
      <c r="N486" s="17"/>
      <c r="P486" s="16"/>
      <c r="R486" s="17"/>
      <c r="T486" s="16"/>
      <c r="V486" s="17"/>
      <c r="AH486" s="20"/>
      <c r="AI486" s="20"/>
      <c r="AJ486" s="36"/>
      <c r="AM486" s="22"/>
      <c r="AO486" s="34"/>
    </row>
    <row r="487">
      <c r="D487" s="16"/>
      <c r="F487" s="17"/>
      <c r="H487" s="16"/>
      <c r="J487" s="17"/>
      <c r="L487" s="16"/>
      <c r="N487" s="17"/>
      <c r="P487" s="16"/>
      <c r="R487" s="17"/>
      <c r="T487" s="16"/>
      <c r="V487" s="17"/>
      <c r="AH487" s="20"/>
      <c r="AI487" s="20"/>
      <c r="AJ487" s="36"/>
      <c r="AM487" s="22"/>
      <c r="AO487" s="34"/>
    </row>
    <row r="488">
      <c r="D488" s="16"/>
      <c r="F488" s="17"/>
      <c r="H488" s="16"/>
      <c r="J488" s="17"/>
      <c r="L488" s="16"/>
      <c r="N488" s="17"/>
      <c r="P488" s="16"/>
      <c r="R488" s="17"/>
      <c r="T488" s="16"/>
      <c r="V488" s="17"/>
      <c r="AH488" s="20"/>
      <c r="AI488" s="20"/>
      <c r="AJ488" s="36"/>
      <c r="AM488" s="22"/>
      <c r="AO488" s="34"/>
    </row>
    <row r="489">
      <c r="D489" s="16"/>
      <c r="F489" s="17"/>
      <c r="H489" s="16"/>
      <c r="J489" s="17"/>
      <c r="L489" s="16"/>
      <c r="N489" s="17"/>
      <c r="P489" s="16"/>
      <c r="R489" s="17"/>
      <c r="T489" s="16"/>
      <c r="V489" s="17"/>
      <c r="AH489" s="20"/>
      <c r="AI489" s="20"/>
      <c r="AJ489" s="36"/>
      <c r="AM489" s="22"/>
      <c r="AO489" s="34"/>
    </row>
    <row r="490">
      <c r="D490" s="16"/>
      <c r="F490" s="17"/>
      <c r="H490" s="16"/>
      <c r="J490" s="17"/>
      <c r="L490" s="16"/>
      <c r="N490" s="17"/>
      <c r="P490" s="16"/>
      <c r="R490" s="17"/>
      <c r="T490" s="16"/>
      <c r="V490" s="17"/>
      <c r="AH490" s="20"/>
      <c r="AI490" s="20"/>
      <c r="AJ490" s="36"/>
      <c r="AM490" s="22"/>
      <c r="AO490" s="34"/>
    </row>
    <row r="491">
      <c r="D491" s="16"/>
      <c r="F491" s="17"/>
      <c r="H491" s="16"/>
      <c r="J491" s="17"/>
      <c r="L491" s="16"/>
      <c r="N491" s="17"/>
      <c r="P491" s="16"/>
      <c r="R491" s="17"/>
      <c r="T491" s="16"/>
      <c r="V491" s="17"/>
      <c r="AH491" s="20"/>
      <c r="AI491" s="20"/>
      <c r="AJ491" s="36"/>
      <c r="AM491" s="22"/>
      <c r="AO491" s="34"/>
    </row>
    <row r="492">
      <c r="D492" s="16"/>
      <c r="F492" s="17"/>
      <c r="H492" s="16"/>
      <c r="J492" s="17"/>
      <c r="L492" s="16"/>
      <c r="N492" s="17"/>
      <c r="P492" s="16"/>
      <c r="R492" s="17"/>
      <c r="T492" s="16"/>
      <c r="V492" s="17"/>
      <c r="AH492" s="20"/>
      <c r="AI492" s="20"/>
      <c r="AJ492" s="36"/>
      <c r="AM492" s="22"/>
      <c r="AO492" s="34"/>
    </row>
    <row r="493">
      <c r="D493" s="16"/>
      <c r="F493" s="17"/>
      <c r="H493" s="16"/>
      <c r="J493" s="17"/>
      <c r="L493" s="16"/>
      <c r="N493" s="17"/>
      <c r="P493" s="16"/>
      <c r="R493" s="17"/>
      <c r="T493" s="16"/>
      <c r="V493" s="17"/>
      <c r="AH493" s="20"/>
      <c r="AI493" s="20"/>
      <c r="AJ493" s="36"/>
      <c r="AM493" s="22"/>
      <c r="AO493" s="34"/>
    </row>
    <row r="494">
      <c r="D494" s="16"/>
      <c r="F494" s="17"/>
      <c r="H494" s="16"/>
      <c r="J494" s="17"/>
      <c r="L494" s="16"/>
      <c r="N494" s="17"/>
      <c r="P494" s="16"/>
      <c r="R494" s="17"/>
      <c r="T494" s="16"/>
      <c r="V494" s="17"/>
      <c r="AH494" s="20"/>
      <c r="AI494" s="20"/>
      <c r="AJ494" s="36"/>
      <c r="AM494" s="22"/>
      <c r="AO494" s="34"/>
    </row>
    <row r="495">
      <c r="D495" s="16"/>
      <c r="F495" s="17"/>
      <c r="H495" s="16"/>
      <c r="J495" s="17"/>
      <c r="L495" s="16"/>
      <c r="N495" s="17"/>
      <c r="P495" s="16"/>
      <c r="R495" s="17"/>
      <c r="T495" s="16"/>
      <c r="V495" s="17"/>
      <c r="AH495" s="20"/>
      <c r="AI495" s="20"/>
      <c r="AJ495" s="36"/>
      <c r="AM495" s="22"/>
      <c r="AO495" s="34"/>
    </row>
    <row r="496">
      <c r="D496" s="16"/>
      <c r="F496" s="17"/>
      <c r="H496" s="16"/>
      <c r="J496" s="17"/>
      <c r="L496" s="16"/>
      <c r="N496" s="17"/>
      <c r="P496" s="16"/>
      <c r="R496" s="17"/>
      <c r="T496" s="16"/>
      <c r="V496" s="17"/>
      <c r="AH496" s="20"/>
      <c r="AI496" s="20"/>
      <c r="AJ496" s="36"/>
      <c r="AM496" s="22"/>
      <c r="AO496" s="34"/>
    </row>
    <row r="497">
      <c r="D497" s="16"/>
      <c r="F497" s="17"/>
      <c r="H497" s="16"/>
      <c r="J497" s="17"/>
      <c r="L497" s="16"/>
      <c r="N497" s="17"/>
      <c r="P497" s="16"/>
      <c r="R497" s="17"/>
      <c r="T497" s="16"/>
      <c r="V497" s="17"/>
      <c r="AH497" s="20"/>
      <c r="AI497" s="20"/>
      <c r="AJ497" s="36"/>
      <c r="AM497" s="22"/>
      <c r="AO497" s="34"/>
    </row>
    <row r="498">
      <c r="D498" s="16"/>
      <c r="F498" s="17"/>
      <c r="H498" s="16"/>
      <c r="J498" s="17"/>
      <c r="L498" s="16"/>
      <c r="N498" s="17"/>
      <c r="P498" s="16"/>
      <c r="R498" s="17"/>
      <c r="T498" s="16"/>
      <c r="V498" s="17"/>
      <c r="AH498" s="20"/>
      <c r="AI498" s="20"/>
      <c r="AJ498" s="36"/>
      <c r="AM498" s="22"/>
      <c r="AO498" s="34"/>
    </row>
    <row r="499">
      <c r="D499" s="16"/>
      <c r="F499" s="17"/>
      <c r="H499" s="16"/>
      <c r="J499" s="17"/>
      <c r="L499" s="16"/>
      <c r="N499" s="17"/>
      <c r="P499" s="16"/>
      <c r="R499" s="17"/>
      <c r="T499" s="16"/>
      <c r="V499" s="17"/>
      <c r="AH499" s="20"/>
      <c r="AI499" s="20"/>
      <c r="AJ499" s="36"/>
      <c r="AM499" s="22"/>
      <c r="AO499" s="34"/>
    </row>
    <row r="500">
      <c r="D500" s="16"/>
      <c r="F500" s="17"/>
      <c r="H500" s="16"/>
      <c r="J500" s="17"/>
      <c r="L500" s="16"/>
      <c r="N500" s="17"/>
      <c r="P500" s="16"/>
      <c r="R500" s="17"/>
      <c r="T500" s="16"/>
      <c r="V500" s="17"/>
      <c r="AH500" s="20"/>
      <c r="AI500" s="20"/>
      <c r="AJ500" s="36"/>
      <c r="AM500" s="22"/>
      <c r="AO500" s="34"/>
    </row>
    <row r="501">
      <c r="D501" s="16"/>
      <c r="F501" s="17"/>
      <c r="H501" s="16"/>
      <c r="J501" s="17"/>
      <c r="L501" s="16"/>
      <c r="N501" s="17"/>
      <c r="P501" s="16"/>
      <c r="R501" s="17"/>
      <c r="T501" s="16"/>
      <c r="V501" s="17"/>
      <c r="AH501" s="20"/>
      <c r="AI501" s="20"/>
      <c r="AJ501" s="36"/>
      <c r="AM501" s="22"/>
      <c r="AO501" s="34"/>
    </row>
    <row r="502">
      <c r="D502" s="16"/>
      <c r="F502" s="17"/>
      <c r="H502" s="16"/>
      <c r="J502" s="17"/>
      <c r="L502" s="16"/>
      <c r="N502" s="17"/>
      <c r="P502" s="16"/>
      <c r="R502" s="17"/>
      <c r="T502" s="16"/>
      <c r="V502" s="17"/>
      <c r="AH502" s="20"/>
      <c r="AI502" s="20"/>
      <c r="AJ502" s="36"/>
      <c r="AM502" s="22"/>
      <c r="AO502" s="34"/>
    </row>
    <row r="503">
      <c r="D503" s="16"/>
      <c r="F503" s="17"/>
      <c r="H503" s="16"/>
      <c r="J503" s="17"/>
      <c r="L503" s="16"/>
      <c r="N503" s="17"/>
      <c r="P503" s="16"/>
      <c r="R503" s="17"/>
      <c r="T503" s="16"/>
      <c r="V503" s="17"/>
      <c r="AH503" s="20"/>
      <c r="AI503" s="20"/>
      <c r="AJ503" s="36"/>
      <c r="AM503" s="22"/>
      <c r="AO503" s="34"/>
    </row>
    <row r="504">
      <c r="D504" s="16"/>
      <c r="F504" s="17"/>
      <c r="H504" s="16"/>
      <c r="J504" s="17"/>
      <c r="L504" s="16"/>
      <c r="N504" s="17"/>
      <c r="P504" s="16"/>
      <c r="R504" s="17"/>
      <c r="T504" s="16"/>
      <c r="V504" s="17"/>
      <c r="AH504" s="20"/>
      <c r="AI504" s="20"/>
      <c r="AJ504" s="36"/>
      <c r="AM504" s="22"/>
      <c r="AO504" s="34"/>
    </row>
    <row r="505">
      <c r="D505" s="16"/>
      <c r="F505" s="17"/>
      <c r="H505" s="16"/>
      <c r="J505" s="17"/>
      <c r="L505" s="16"/>
      <c r="N505" s="17"/>
      <c r="P505" s="16"/>
      <c r="R505" s="17"/>
      <c r="T505" s="16"/>
      <c r="V505" s="17"/>
      <c r="AH505" s="20"/>
      <c r="AI505" s="20"/>
      <c r="AJ505" s="36"/>
      <c r="AM505" s="22"/>
      <c r="AO505" s="34"/>
    </row>
    <row r="506">
      <c r="D506" s="16"/>
      <c r="F506" s="17"/>
      <c r="H506" s="16"/>
      <c r="J506" s="17"/>
      <c r="L506" s="16"/>
      <c r="N506" s="17"/>
      <c r="P506" s="16"/>
      <c r="R506" s="17"/>
      <c r="T506" s="16"/>
      <c r="V506" s="17"/>
      <c r="AH506" s="20"/>
      <c r="AI506" s="20"/>
      <c r="AJ506" s="36"/>
      <c r="AM506" s="22"/>
      <c r="AO506" s="34"/>
    </row>
    <row r="507">
      <c r="D507" s="16"/>
      <c r="F507" s="17"/>
      <c r="H507" s="16"/>
      <c r="J507" s="17"/>
      <c r="L507" s="16"/>
      <c r="N507" s="17"/>
      <c r="P507" s="16"/>
      <c r="R507" s="17"/>
      <c r="T507" s="16"/>
      <c r="V507" s="17"/>
      <c r="AH507" s="20"/>
      <c r="AI507" s="20"/>
      <c r="AJ507" s="36"/>
      <c r="AM507" s="22"/>
      <c r="AO507" s="34"/>
    </row>
    <row r="508">
      <c r="D508" s="16"/>
      <c r="F508" s="17"/>
      <c r="H508" s="16"/>
      <c r="J508" s="17"/>
      <c r="L508" s="16"/>
      <c r="N508" s="17"/>
      <c r="P508" s="16"/>
      <c r="R508" s="17"/>
      <c r="T508" s="16"/>
      <c r="V508" s="17"/>
      <c r="AH508" s="20"/>
      <c r="AI508" s="20"/>
      <c r="AJ508" s="36"/>
      <c r="AM508" s="22"/>
      <c r="AO508" s="34"/>
    </row>
    <row r="509">
      <c r="D509" s="16"/>
      <c r="F509" s="17"/>
      <c r="H509" s="16"/>
      <c r="J509" s="17"/>
      <c r="L509" s="16"/>
      <c r="N509" s="17"/>
      <c r="P509" s="16"/>
      <c r="R509" s="17"/>
      <c r="T509" s="16"/>
      <c r="V509" s="17"/>
      <c r="AH509" s="20"/>
      <c r="AI509" s="20"/>
      <c r="AJ509" s="36"/>
      <c r="AM509" s="22"/>
      <c r="AO509" s="34"/>
    </row>
    <row r="510">
      <c r="D510" s="16"/>
      <c r="F510" s="17"/>
      <c r="H510" s="16"/>
      <c r="J510" s="17"/>
      <c r="L510" s="16"/>
      <c r="N510" s="17"/>
      <c r="P510" s="16"/>
      <c r="R510" s="17"/>
      <c r="T510" s="16"/>
      <c r="V510" s="17"/>
      <c r="AH510" s="20"/>
      <c r="AI510" s="20"/>
      <c r="AJ510" s="36"/>
      <c r="AM510" s="22"/>
      <c r="AO510" s="34"/>
    </row>
    <row r="511">
      <c r="D511" s="16"/>
      <c r="F511" s="17"/>
      <c r="H511" s="16"/>
      <c r="J511" s="17"/>
      <c r="L511" s="16"/>
      <c r="N511" s="17"/>
      <c r="P511" s="16"/>
      <c r="R511" s="17"/>
      <c r="T511" s="16"/>
      <c r="V511" s="17"/>
      <c r="AH511" s="20"/>
      <c r="AI511" s="20"/>
      <c r="AJ511" s="36"/>
      <c r="AM511" s="22"/>
      <c r="AO511" s="34"/>
    </row>
    <row r="512">
      <c r="D512" s="16"/>
      <c r="F512" s="17"/>
      <c r="H512" s="16"/>
      <c r="J512" s="17"/>
      <c r="L512" s="16"/>
      <c r="N512" s="17"/>
      <c r="P512" s="16"/>
      <c r="R512" s="17"/>
      <c r="T512" s="16"/>
      <c r="V512" s="17"/>
      <c r="AH512" s="20"/>
      <c r="AI512" s="20"/>
      <c r="AJ512" s="36"/>
      <c r="AM512" s="22"/>
      <c r="AO512" s="34"/>
    </row>
    <row r="513">
      <c r="D513" s="16"/>
      <c r="F513" s="17"/>
      <c r="H513" s="16"/>
      <c r="J513" s="17"/>
      <c r="L513" s="16"/>
      <c r="N513" s="17"/>
      <c r="P513" s="16"/>
      <c r="R513" s="17"/>
      <c r="T513" s="16"/>
      <c r="V513" s="17"/>
      <c r="AH513" s="20"/>
      <c r="AI513" s="20"/>
      <c r="AJ513" s="36"/>
      <c r="AM513" s="22"/>
      <c r="AO513" s="34"/>
    </row>
    <row r="514">
      <c r="D514" s="16"/>
      <c r="F514" s="17"/>
      <c r="H514" s="16"/>
      <c r="J514" s="17"/>
      <c r="L514" s="16"/>
      <c r="N514" s="17"/>
      <c r="P514" s="16"/>
      <c r="R514" s="17"/>
      <c r="T514" s="16"/>
      <c r="V514" s="17"/>
      <c r="AH514" s="20"/>
      <c r="AI514" s="20"/>
      <c r="AJ514" s="36"/>
      <c r="AM514" s="22"/>
      <c r="AO514" s="34"/>
    </row>
    <row r="515">
      <c r="D515" s="16"/>
      <c r="F515" s="17"/>
      <c r="H515" s="16"/>
      <c r="J515" s="17"/>
      <c r="L515" s="16"/>
      <c r="N515" s="17"/>
      <c r="P515" s="16"/>
      <c r="R515" s="17"/>
      <c r="T515" s="16"/>
      <c r="V515" s="17"/>
      <c r="AH515" s="20"/>
      <c r="AI515" s="20"/>
      <c r="AJ515" s="36"/>
      <c r="AM515" s="22"/>
      <c r="AO515" s="34"/>
    </row>
    <row r="516">
      <c r="D516" s="16"/>
      <c r="F516" s="17"/>
      <c r="H516" s="16"/>
      <c r="J516" s="17"/>
      <c r="L516" s="16"/>
      <c r="N516" s="17"/>
      <c r="P516" s="16"/>
      <c r="R516" s="17"/>
      <c r="T516" s="16"/>
      <c r="V516" s="17"/>
      <c r="AH516" s="20"/>
      <c r="AI516" s="20"/>
      <c r="AJ516" s="36"/>
      <c r="AM516" s="22"/>
      <c r="AO516" s="34"/>
    </row>
    <row r="517">
      <c r="D517" s="16"/>
      <c r="F517" s="17"/>
      <c r="H517" s="16"/>
      <c r="J517" s="17"/>
      <c r="L517" s="16"/>
      <c r="N517" s="17"/>
      <c r="P517" s="16"/>
      <c r="R517" s="17"/>
      <c r="T517" s="16"/>
      <c r="V517" s="17"/>
      <c r="AH517" s="20"/>
      <c r="AI517" s="20"/>
      <c r="AJ517" s="36"/>
      <c r="AM517" s="22"/>
      <c r="AO517" s="34"/>
    </row>
    <row r="518">
      <c r="D518" s="16"/>
      <c r="F518" s="17"/>
      <c r="H518" s="16"/>
      <c r="J518" s="17"/>
      <c r="L518" s="16"/>
      <c r="N518" s="17"/>
      <c r="P518" s="16"/>
      <c r="R518" s="17"/>
      <c r="T518" s="16"/>
      <c r="V518" s="17"/>
      <c r="AH518" s="20"/>
      <c r="AI518" s="20"/>
      <c r="AJ518" s="36"/>
      <c r="AM518" s="22"/>
      <c r="AO518" s="34"/>
    </row>
    <row r="519">
      <c r="D519" s="16"/>
      <c r="F519" s="17"/>
      <c r="H519" s="16"/>
      <c r="J519" s="17"/>
      <c r="L519" s="16"/>
      <c r="N519" s="17"/>
      <c r="P519" s="16"/>
      <c r="R519" s="17"/>
      <c r="T519" s="16"/>
      <c r="V519" s="17"/>
      <c r="AH519" s="20"/>
      <c r="AI519" s="20"/>
      <c r="AJ519" s="36"/>
      <c r="AM519" s="22"/>
      <c r="AO519" s="34"/>
    </row>
    <row r="520">
      <c r="D520" s="16"/>
      <c r="F520" s="17"/>
      <c r="H520" s="16"/>
      <c r="J520" s="17"/>
      <c r="L520" s="16"/>
      <c r="N520" s="17"/>
      <c r="P520" s="16"/>
      <c r="R520" s="17"/>
      <c r="T520" s="16"/>
      <c r="V520" s="17"/>
      <c r="AH520" s="20"/>
      <c r="AI520" s="20"/>
      <c r="AJ520" s="36"/>
      <c r="AM520" s="22"/>
      <c r="AO520" s="34"/>
    </row>
    <row r="521">
      <c r="D521" s="16"/>
      <c r="F521" s="17"/>
      <c r="H521" s="16"/>
      <c r="J521" s="17"/>
      <c r="L521" s="16"/>
      <c r="N521" s="17"/>
      <c r="P521" s="16"/>
      <c r="R521" s="17"/>
      <c r="T521" s="16"/>
      <c r="V521" s="17"/>
      <c r="AH521" s="20"/>
      <c r="AI521" s="20"/>
      <c r="AJ521" s="36"/>
      <c r="AM521" s="22"/>
      <c r="AO521" s="34"/>
    </row>
    <row r="522">
      <c r="D522" s="16"/>
      <c r="F522" s="17"/>
      <c r="H522" s="16"/>
      <c r="J522" s="17"/>
      <c r="L522" s="16"/>
      <c r="N522" s="17"/>
      <c r="P522" s="16"/>
      <c r="R522" s="17"/>
      <c r="T522" s="16"/>
      <c r="V522" s="17"/>
      <c r="AH522" s="20"/>
      <c r="AI522" s="20"/>
      <c r="AJ522" s="36"/>
      <c r="AM522" s="22"/>
      <c r="AO522" s="34"/>
    </row>
    <row r="523">
      <c r="D523" s="16"/>
      <c r="F523" s="17"/>
      <c r="H523" s="16"/>
      <c r="J523" s="17"/>
      <c r="L523" s="16"/>
      <c r="N523" s="17"/>
      <c r="P523" s="16"/>
      <c r="R523" s="17"/>
      <c r="T523" s="16"/>
      <c r="V523" s="17"/>
      <c r="AH523" s="20"/>
      <c r="AI523" s="20"/>
      <c r="AJ523" s="36"/>
      <c r="AM523" s="22"/>
      <c r="AO523" s="34"/>
    </row>
    <row r="524">
      <c r="D524" s="16"/>
      <c r="F524" s="17"/>
      <c r="H524" s="16"/>
      <c r="J524" s="17"/>
      <c r="L524" s="16"/>
      <c r="N524" s="17"/>
      <c r="P524" s="16"/>
      <c r="R524" s="17"/>
      <c r="T524" s="16"/>
      <c r="V524" s="17"/>
      <c r="AH524" s="20"/>
      <c r="AI524" s="20"/>
      <c r="AJ524" s="36"/>
      <c r="AM524" s="22"/>
      <c r="AO524" s="34"/>
    </row>
    <row r="525">
      <c r="D525" s="16"/>
      <c r="F525" s="17"/>
      <c r="H525" s="16"/>
      <c r="J525" s="17"/>
      <c r="L525" s="16"/>
      <c r="N525" s="17"/>
      <c r="P525" s="16"/>
      <c r="R525" s="17"/>
      <c r="T525" s="16"/>
      <c r="V525" s="17"/>
      <c r="AH525" s="20"/>
      <c r="AI525" s="20"/>
      <c r="AJ525" s="36"/>
      <c r="AM525" s="22"/>
      <c r="AO525" s="34"/>
    </row>
    <row r="526">
      <c r="D526" s="16"/>
      <c r="F526" s="17"/>
      <c r="H526" s="16"/>
      <c r="J526" s="17"/>
      <c r="L526" s="16"/>
      <c r="N526" s="17"/>
      <c r="P526" s="16"/>
      <c r="R526" s="17"/>
      <c r="T526" s="16"/>
      <c r="V526" s="17"/>
      <c r="AH526" s="20"/>
      <c r="AI526" s="20"/>
      <c r="AJ526" s="36"/>
      <c r="AM526" s="22"/>
      <c r="AO526" s="34"/>
    </row>
    <row r="527">
      <c r="D527" s="16"/>
      <c r="F527" s="17"/>
      <c r="H527" s="16"/>
      <c r="J527" s="17"/>
      <c r="L527" s="16"/>
      <c r="N527" s="17"/>
      <c r="P527" s="16"/>
      <c r="R527" s="17"/>
      <c r="T527" s="16"/>
      <c r="V527" s="17"/>
      <c r="AH527" s="20"/>
      <c r="AI527" s="20"/>
      <c r="AJ527" s="36"/>
      <c r="AM527" s="22"/>
      <c r="AO527" s="34"/>
    </row>
    <row r="528">
      <c r="D528" s="16"/>
      <c r="F528" s="17"/>
      <c r="H528" s="16"/>
      <c r="J528" s="17"/>
      <c r="L528" s="16"/>
      <c r="N528" s="17"/>
      <c r="P528" s="16"/>
      <c r="R528" s="17"/>
      <c r="T528" s="16"/>
      <c r="V528" s="17"/>
      <c r="AH528" s="20"/>
      <c r="AI528" s="20"/>
      <c r="AJ528" s="36"/>
      <c r="AM528" s="22"/>
      <c r="AO528" s="34"/>
    </row>
    <row r="529">
      <c r="D529" s="16"/>
      <c r="F529" s="17"/>
      <c r="H529" s="16"/>
      <c r="J529" s="17"/>
      <c r="L529" s="16"/>
      <c r="N529" s="17"/>
      <c r="P529" s="16"/>
      <c r="R529" s="17"/>
      <c r="T529" s="16"/>
      <c r="V529" s="17"/>
      <c r="AH529" s="20"/>
      <c r="AI529" s="20"/>
      <c r="AJ529" s="36"/>
      <c r="AM529" s="22"/>
      <c r="AO529" s="34"/>
    </row>
    <row r="530">
      <c r="D530" s="16"/>
      <c r="F530" s="17"/>
      <c r="H530" s="16"/>
      <c r="J530" s="17"/>
      <c r="L530" s="16"/>
      <c r="N530" s="17"/>
      <c r="P530" s="16"/>
      <c r="R530" s="17"/>
      <c r="T530" s="16"/>
      <c r="V530" s="17"/>
      <c r="AH530" s="20"/>
      <c r="AI530" s="20"/>
      <c r="AJ530" s="36"/>
      <c r="AM530" s="22"/>
      <c r="AO530" s="34"/>
    </row>
    <row r="531">
      <c r="D531" s="16"/>
      <c r="F531" s="17"/>
      <c r="H531" s="16"/>
      <c r="J531" s="17"/>
      <c r="L531" s="16"/>
      <c r="N531" s="17"/>
      <c r="P531" s="16"/>
      <c r="R531" s="17"/>
      <c r="T531" s="16"/>
      <c r="V531" s="17"/>
      <c r="AH531" s="20"/>
      <c r="AI531" s="20"/>
      <c r="AJ531" s="36"/>
      <c r="AM531" s="22"/>
      <c r="AO531" s="34"/>
    </row>
    <row r="532">
      <c r="D532" s="16"/>
      <c r="F532" s="17"/>
      <c r="H532" s="16"/>
      <c r="J532" s="17"/>
      <c r="L532" s="16"/>
      <c r="N532" s="17"/>
      <c r="P532" s="16"/>
      <c r="R532" s="17"/>
      <c r="T532" s="16"/>
      <c r="V532" s="17"/>
      <c r="AH532" s="20"/>
      <c r="AI532" s="20"/>
      <c r="AJ532" s="36"/>
      <c r="AM532" s="22"/>
      <c r="AO532" s="34"/>
    </row>
    <row r="533">
      <c r="D533" s="16"/>
      <c r="F533" s="17"/>
      <c r="H533" s="16"/>
      <c r="J533" s="17"/>
      <c r="L533" s="16"/>
      <c r="N533" s="17"/>
      <c r="P533" s="16"/>
      <c r="R533" s="17"/>
      <c r="T533" s="16"/>
      <c r="V533" s="17"/>
      <c r="AH533" s="20"/>
      <c r="AI533" s="20"/>
      <c r="AJ533" s="36"/>
      <c r="AM533" s="22"/>
      <c r="AO533" s="34"/>
    </row>
    <row r="534">
      <c r="D534" s="16"/>
      <c r="F534" s="17"/>
      <c r="H534" s="16"/>
      <c r="J534" s="17"/>
      <c r="L534" s="16"/>
      <c r="N534" s="17"/>
      <c r="P534" s="16"/>
      <c r="R534" s="17"/>
      <c r="T534" s="16"/>
      <c r="V534" s="17"/>
      <c r="AH534" s="20"/>
      <c r="AI534" s="20"/>
      <c r="AJ534" s="36"/>
      <c r="AM534" s="22"/>
      <c r="AO534" s="34"/>
    </row>
    <row r="535">
      <c r="D535" s="16"/>
      <c r="F535" s="17"/>
      <c r="H535" s="16"/>
      <c r="J535" s="17"/>
      <c r="L535" s="16"/>
      <c r="N535" s="17"/>
      <c r="P535" s="16"/>
      <c r="R535" s="17"/>
      <c r="T535" s="16"/>
      <c r="V535" s="17"/>
      <c r="AH535" s="20"/>
      <c r="AI535" s="20"/>
      <c r="AJ535" s="36"/>
      <c r="AM535" s="22"/>
      <c r="AO535" s="34"/>
    </row>
    <row r="536">
      <c r="D536" s="16"/>
      <c r="F536" s="17"/>
      <c r="H536" s="16"/>
      <c r="J536" s="17"/>
      <c r="L536" s="16"/>
      <c r="N536" s="17"/>
      <c r="P536" s="16"/>
      <c r="R536" s="17"/>
      <c r="T536" s="16"/>
      <c r="V536" s="17"/>
      <c r="AH536" s="20"/>
      <c r="AI536" s="20"/>
      <c r="AJ536" s="36"/>
      <c r="AM536" s="22"/>
      <c r="AO536" s="34"/>
    </row>
    <row r="537">
      <c r="D537" s="16"/>
      <c r="F537" s="17"/>
      <c r="H537" s="16"/>
      <c r="J537" s="17"/>
      <c r="L537" s="16"/>
      <c r="N537" s="17"/>
      <c r="P537" s="16"/>
      <c r="R537" s="17"/>
      <c r="T537" s="16"/>
      <c r="V537" s="17"/>
      <c r="AH537" s="20"/>
      <c r="AI537" s="20"/>
      <c r="AJ537" s="36"/>
      <c r="AM537" s="22"/>
      <c r="AO537" s="34"/>
    </row>
    <row r="538">
      <c r="D538" s="16"/>
      <c r="F538" s="17"/>
      <c r="H538" s="16"/>
      <c r="J538" s="17"/>
      <c r="L538" s="16"/>
      <c r="N538" s="17"/>
      <c r="P538" s="16"/>
      <c r="R538" s="17"/>
      <c r="T538" s="16"/>
      <c r="V538" s="17"/>
      <c r="AH538" s="20"/>
      <c r="AI538" s="20"/>
      <c r="AJ538" s="36"/>
      <c r="AM538" s="22"/>
      <c r="AO538" s="34"/>
    </row>
    <row r="539">
      <c r="D539" s="16"/>
      <c r="F539" s="17"/>
      <c r="H539" s="16"/>
      <c r="J539" s="17"/>
      <c r="L539" s="16"/>
      <c r="N539" s="17"/>
      <c r="P539" s="16"/>
      <c r="R539" s="17"/>
      <c r="T539" s="16"/>
      <c r="V539" s="17"/>
      <c r="AH539" s="20"/>
      <c r="AI539" s="20"/>
      <c r="AJ539" s="36"/>
      <c r="AM539" s="22"/>
      <c r="AO539" s="34"/>
    </row>
    <row r="540">
      <c r="D540" s="16"/>
      <c r="F540" s="17"/>
      <c r="H540" s="16"/>
      <c r="J540" s="17"/>
      <c r="L540" s="16"/>
      <c r="N540" s="17"/>
      <c r="P540" s="16"/>
      <c r="R540" s="17"/>
      <c r="T540" s="16"/>
      <c r="V540" s="17"/>
      <c r="AH540" s="20"/>
      <c r="AI540" s="20"/>
      <c r="AJ540" s="36"/>
      <c r="AM540" s="22"/>
      <c r="AO540" s="34"/>
    </row>
    <row r="541">
      <c r="D541" s="16"/>
      <c r="F541" s="17"/>
      <c r="H541" s="16"/>
      <c r="J541" s="17"/>
      <c r="L541" s="16"/>
      <c r="N541" s="17"/>
      <c r="P541" s="16"/>
      <c r="R541" s="17"/>
      <c r="T541" s="16"/>
      <c r="V541" s="17"/>
      <c r="AH541" s="20"/>
      <c r="AI541" s="20"/>
      <c r="AJ541" s="36"/>
      <c r="AM541" s="22"/>
      <c r="AO541" s="34"/>
    </row>
    <row r="542">
      <c r="D542" s="16"/>
      <c r="F542" s="17"/>
      <c r="H542" s="16"/>
      <c r="J542" s="17"/>
      <c r="L542" s="16"/>
      <c r="N542" s="17"/>
      <c r="P542" s="16"/>
      <c r="R542" s="17"/>
      <c r="T542" s="16"/>
      <c r="V542" s="17"/>
      <c r="AH542" s="20"/>
      <c r="AI542" s="20"/>
      <c r="AJ542" s="36"/>
      <c r="AM542" s="22"/>
      <c r="AO542" s="34"/>
    </row>
    <row r="543">
      <c r="D543" s="16"/>
      <c r="F543" s="17"/>
      <c r="H543" s="16"/>
      <c r="J543" s="17"/>
      <c r="L543" s="16"/>
      <c r="N543" s="17"/>
      <c r="P543" s="16"/>
      <c r="R543" s="17"/>
      <c r="T543" s="16"/>
      <c r="V543" s="17"/>
      <c r="AH543" s="20"/>
      <c r="AI543" s="20"/>
      <c r="AJ543" s="36"/>
      <c r="AM543" s="22"/>
      <c r="AO543" s="34"/>
    </row>
    <row r="544">
      <c r="D544" s="16"/>
      <c r="F544" s="17"/>
      <c r="H544" s="16"/>
      <c r="J544" s="17"/>
      <c r="L544" s="16"/>
      <c r="N544" s="17"/>
      <c r="P544" s="16"/>
      <c r="R544" s="17"/>
      <c r="T544" s="16"/>
      <c r="V544" s="17"/>
      <c r="AH544" s="20"/>
      <c r="AI544" s="20"/>
      <c r="AJ544" s="36"/>
      <c r="AM544" s="22"/>
      <c r="AO544" s="34"/>
    </row>
    <row r="545">
      <c r="D545" s="16"/>
      <c r="F545" s="17"/>
      <c r="H545" s="16"/>
      <c r="J545" s="17"/>
      <c r="L545" s="16"/>
      <c r="N545" s="17"/>
      <c r="P545" s="16"/>
      <c r="R545" s="17"/>
      <c r="T545" s="16"/>
      <c r="V545" s="17"/>
      <c r="AH545" s="20"/>
      <c r="AI545" s="20"/>
      <c r="AJ545" s="36"/>
      <c r="AM545" s="22"/>
      <c r="AO545" s="34"/>
    </row>
    <row r="546">
      <c r="D546" s="16"/>
      <c r="F546" s="17"/>
      <c r="H546" s="16"/>
      <c r="J546" s="17"/>
      <c r="L546" s="16"/>
      <c r="N546" s="17"/>
      <c r="P546" s="16"/>
      <c r="R546" s="17"/>
      <c r="T546" s="16"/>
      <c r="V546" s="17"/>
      <c r="AH546" s="20"/>
      <c r="AI546" s="20"/>
      <c r="AJ546" s="36"/>
      <c r="AM546" s="22"/>
      <c r="AO546" s="34"/>
    </row>
    <row r="547">
      <c r="D547" s="16"/>
      <c r="F547" s="17"/>
      <c r="H547" s="16"/>
      <c r="J547" s="17"/>
      <c r="L547" s="16"/>
      <c r="N547" s="17"/>
      <c r="P547" s="16"/>
      <c r="R547" s="17"/>
      <c r="T547" s="16"/>
      <c r="V547" s="17"/>
      <c r="AH547" s="20"/>
      <c r="AI547" s="20"/>
      <c r="AJ547" s="36"/>
      <c r="AM547" s="22"/>
      <c r="AO547" s="34"/>
    </row>
    <row r="548">
      <c r="D548" s="16"/>
      <c r="F548" s="17"/>
      <c r="H548" s="16"/>
      <c r="J548" s="17"/>
      <c r="L548" s="16"/>
      <c r="N548" s="17"/>
      <c r="P548" s="16"/>
      <c r="R548" s="17"/>
      <c r="T548" s="16"/>
      <c r="V548" s="17"/>
      <c r="AH548" s="20"/>
      <c r="AI548" s="20"/>
      <c r="AJ548" s="36"/>
      <c r="AM548" s="22"/>
      <c r="AO548" s="34"/>
    </row>
    <row r="549">
      <c r="D549" s="16"/>
      <c r="F549" s="17"/>
      <c r="H549" s="16"/>
      <c r="J549" s="17"/>
      <c r="L549" s="16"/>
      <c r="N549" s="17"/>
      <c r="P549" s="16"/>
      <c r="R549" s="17"/>
      <c r="T549" s="16"/>
      <c r="V549" s="17"/>
      <c r="AH549" s="20"/>
      <c r="AI549" s="20"/>
      <c r="AJ549" s="36"/>
      <c r="AM549" s="22"/>
      <c r="AO549" s="34"/>
    </row>
    <row r="550">
      <c r="D550" s="16"/>
      <c r="F550" s="17"/>
      <c r="H550" s="16"/>
      <c r="J550" s="17"/>
      <c r="L550" s="16"/>
      <c r="N550" s="17"/>
      <c r="P550" s="16"/>
      <c r="R550" s="17"/>
      <c r="T550" s="16"/>
      <c r="V550" s="17"/>
      <c r="AH550" s="20"/>
      <c r="AI550" s="20"/>
      <c r="AJ550" s="36"/>
      <c r="AM550" s="22"/>
      <c r="AO550" s="34"/>
    </row>
    <row r="551">
      <c r="D551" s="16"/>
      <c r="F551" s="17"/>
      <c r="H551" s="16"/>
      <c r="J551" s="17"/>
      <c r="L551" s="16"/>
      <c r="N551" s="17"/>
      <c r="P551" s="16"/>
      <c r="R551" s="17"/>
      <c r="T551" s="16"/>
      <c r="V551" s="17"/>
      <c r="AH551" s="20"/>
      <c r="AI551" s="20"/>
      <c r="AJ551" s="36"/>
      <c r="AM551" s="22"/>
      <c r="AO551" s="34"/>
    </row>
    <row r="552">
      <c r="D552" s="16"/>
      <c r="F552" s="17"/>
      <c r="H552" s="16"/>
      <c r="J552" s="17"/>
      <c r="L552" s="16"/>
      <c r="N552" s="17"/>
      <c r="P552" s="16"/>
      <c r="R552" s="17"/>
      <c r="T552" s="16"/>
      <c r="V552" s="17"/>
      <c r="AH552" s="20"/>
      <c r="AI552" s="20"/>
      <c r="AJ552" s="36"/>
      <c r="AM552" s="22"/>
      <c r="AO552" s="34"/>
    </row>
    <row r="553">
      <c r="D553" s="16"/>
      <c r="F553" s="17"/>
      <c r="H553" s="16"/>
      <c r="J553" s="17"/>
      <c r="L553" s="16"/>
      <c r="N553" s="17"/>
      <c r="P553" s="16"/>
      <c r="R553" s="17"/>
      <c r="T553" s="16"/>
      <c r="V553" s="17"/>
      <c r="AH553" s="20"/>
      <c r="AI553" s="20"/>
      <c r="AJ553" s="36"/>
      <c r="AM553" s="22"/>
      <c r="AO553" s="34"/>
    </row>
    <row r="554">
      <c r="D554" s="16"/>
      <c r="F554" s="17"/>
      <c r="H554" s="16"/>
      <c r="J554" s="17"/>
      <c r="L554" s="16"/>
      <c r="N554" s="17"/>
      <c r="P554" s="16"/>
      <c r="R554" s="17"/>
      <c r="T554" s="16"/>
      <c r="V554" s="17"/>
      <c r="AH554" s="20"/>
      <c r="AI554" s="20"/>
      <c r="AJ554" s="36"/>
      <c r="AM554" s="22"/>
      <c r="AO554" s="34"/>
    </row>
    <row r="555">
      <c r="D555" s="16"/>
      <c r="F555" s="17"/>
      <c r="H555" s="16"/>
      <c r="J555" s="17"/>
      <c r="L555" s="16"/>
      <c r="N555" s="17"/>
      <c r="P555" s="16"/>
      <c r="R555" s="17"/>
      <c r="T555" s="16"/>
      <c r="V555" s="17"/>
      <c r="AH555" s="20"/>
      <c r="AI555" s="20"/>
      <c r="AJ555" s="36"/>
      <c r="AM555" s="22"/>
      <c r="AO555" s="34"/>
    </row>
    <row r="556">
      <c r="D556" s="16"/>
      <c r="F556" s="17"/>
      <c r="H556" s="16"/>
      <c r="J556" s="17"/>
      <c r="L556" s="16"/>
      <c r="N556" s="17"/>
      <c r="P556" s="16"/>
      <c r="R556" s="17"/>
      <c r="T556" s="16"/>
      <c r="V556" s="17"/>
      <c r="AH556" s="20"/>
      <c r="AI556" s="20"/>
      <c r="AJ556" s="36"/>
      <c r="AM556" s="22"/>
      <c r="AO556" s="34"/>
    </row>
    <row r="557">
      <c r="D557" s="16"/>
      <c r="F557" s="17"/>
      <c r="H557" s="16"/>
      <c r="J557" s="17"/>
      <c r="L557" s="16"/>
      <c r="N557" s="17"/>
      <c r="P557" s="16"/>
      <c r="R557" s="17"/>
      <c r="T557" s="16"/>
      <c r="V557" s="17"/>
      <c r="AH557" s="20"/>
      <c r="AI557" s="20"/>
      <c r="AJ557" s="36"/>
      <c r="AM557" s="22"/>
      <c r="AO557" s="34"/>
    </row>
    <row r="558">
      <c r="D558" s="16"/>
      <c r="F558" s="17"/>
      <c r="H558" s="16"/>
      <c r="J558" s="17"/>
      <c r="L558" s="16"/>
      <c r="N558" s="17"/>
      <c r="P558" s="16"/>
      <c r="R558" s="17"/>
      <c r="T558" s="16"/>
      <c r="V558" s="17"/>
      <c r="AH558" s="20"/>
      <c r="AI558" s="20"/>
      <c r="AJ558" s="36"/>
      <c r="AM558" s="22"/>
      <c r="AO558" s="34"/>
    </row>
    <row r="559">
      <c r="D559" s="16"/>
      <c r="F559" s="17"/>
      <c r="H559" s="16"/>
      <c r="J559" s="17"/>
      <c r="L559" s="16"/>
      <c r="N559" s="17"/>
      <c r="P559" s="16"/>
      <c r="R559" s="17"/>
      <c r="T559" s="16"/>
      <c r="V559" s="17"/>
      <c r="AH559" s="20"/>
      <c r="AI559" s="20"/>
      <c r="AJ559" s="36"/>
      <c r="AM559" s="22"/>
      <c r="AO559" s="34"/>
    </row>
    <row r="560">
      <c r="D560" s="16"/>
      <c r="F560" s="17"/>
      <c r="H560" s="16"/>
      <c r="J560" s="17"/>
      <c r="L560" s="16"/>
      <c r="N560" s="17"/>
      <c r="P560" s="16"/>
      <c r="R560" s="17"/>
      <c r="T560" s="16"/>
      <c r="V560" s="17"/>
      <c r="AH560" s="20"/>
      <c r="AI560" s="20"/>
      <c r="AJ560" s="36"/>
      <c r="AM560" s="22"/>
      <c r="AO560" s="34"/>
    </row>
    <row r="561">
      <c r="D561" s="16"/>
      <c r="F561" s="17"/>
      <c r="H561" s="16"/>
      <c r="J561" s="17"/>
      <c r="L561" s="16"/>
      <c r="N561" s="17"/>
      <c r="P561" s="16"/>
      <c r="R561" s="17"/>
      <c r="T561" s="16"/>
      <c r="V561" s="17"/>
      <c r="AH561" s="20"/>
      <c r="AI561" s="20"/>
      <c r="AJ561" s="36"/>
      <c r="AM561" s="22"/>
      <c r="AO561" s="34"/>
    </row>
    <row r="562">
      <c r="D562" s="16"/>
      <c r="F562" s="17"/>
      <c r="H562" s="16"/>
      <c r="J562" s="17"/>
      <c r="L562" s="16"/>
      <c r="N562" s="17"/>
      <c r="P562" s="16"/>
      <c r="R562" s="17"/>
      <c r="T562" s="16"/>
      <c r="V562" s="17"/>
      <c r="AH562" s="20"/>
      <c r="AI562" s="20"/>
      <c r="AJ562" s="36"/>
      <c r="AM562" s="22"/>
      <c r="AO562" s="34"/>
    </row>
    <row r="563">
      <c r="D563" s="16"/>
      <c r="F563" s="17"/>
      <c r="H563" s="16"/>
      <c r="J563" s="17"/>
      <c r="L563" s="16"/>
      <c r="N563" s="17"/>
      <c r="P563" s="16"/>
      <c r="R563" s="17"/>
      <c r="T563" s="16"/>
      <c r="V563" s="17"/>
      <c r="AH563" s="20"/>
      <c r="AI563" s="20"/>
      <c r="AJ563" s="36"/>
      <c r="AM563" s="22"/>
      <c r="AO563" s="34"/>
    </row>
    <row r="564">
      <c r="D564" s="16"/>
      <c r="F564" s="17"/>
      <c r="H564" s="16"/>
      <c r="J564" s="17"/>
      <c r="L564" s="16"/>
      <c r="N564" s="17"/>
      <c r="P564" s="16"/>
      <c r="R564" s="17"/>
      <c r="T564" s="16"/>
      <c r="V564" s="17"/>
      <c r="AH564" s="20"/>
      <c r="AI564" s="20"/>
      <c r="AJ564" s="36"/>
      <c r="AM564" s="22"/>
      <c r="AO564" s="34"/>
    </row>
    <row r="565">
      <c r="D565" s="16"/>
      <c r="F565" s="17"/>
      <c r="H565" s="16"/>
      <c r="J565" s="17"/>
      <c r="L565" s="16"/>
      <c r="N565" s="17"/>
      <c r="P565" s="16"/>
      <c r="R565" s="17"/>
      <c r="T565" s="16"/>
      <c r="V565" s="17"/>
      <c r="AH565" s="20"/>
      <c r="AI565" s="20"/>
      <c r="AJ565" s="36"/>
      <c r="AM565" s="22"/>
      <c r="AO565" s="34"/>
    </row>
    <row r="566">
      <c r="D566" s="16"/>
      <c r="F566" s="17"/>
      <c r="H566" s="16"/>
      <c r="J566" s="17"/>
      <c r="L566" s="16"/>
      <c r="N566" s="17"/>
      <c r="P566" s="16"/>
      <c r="R566" s="17"/>
      <c r="T566" s="16"/>
      <c r="V566" s="17"/>
      <c r="AH566" s="20"/>
      <c r="AI566" s="20"/>
      <c r="AJ566" s="36"/>
      <c r="AM566" s="22"/>
      <c r="AO566" s="34"/>
    </row>
    <row r="567">
      <c r="D567" s="16"/>
      <c r="F567" s="17"/>
      <c r="H567" s="16"/>
      <c r="J567" s="17"/>
      <c r="L567" s="16"/>
      <c r="N567" s="17"/>
      <c r="P567" s="16"/>
      <c r="R567" s="17"/>
      <c r="T567" s="16"/>
      <c r="V567" s="17"/>
      <c r="AH567" s="20"/>
      <c r="AI567" s="20"/>
      <c r="AJ567" s="36"/>
      <c r="AM567" s="22"/>
      <c r="AO567" s="34"/>
    </row>
    <row r="568">
      <c r="D568" s="16"/>
      <c r="F568" s="17"/>
      <c r="H568" s="16"/>
      <c r="J568" s="17"/>
      <c r="L568" s="16"/>
      <c r="N568" s="17"/>
      <c r="P568" s="16"/>
      <c r="R568" s="17"/>
      <c r="T568" s="16"/>
      <c r="V568" s="17"/>
      <c r="AH568" s="20"/>
      <c r="AI568" s="20"/>
      <c r="AJ568" s="36"/>
      <c r="AM568" s="22"/>
      <c r="AO568" s="34"/>
    </row>
    <row r="569">
      <c r="D569" s="16"/>
      <c r="F569" s="17"/>
      <c r="H569" s="16"/>
      <c r="J569" s="17"/>
      <c r="L569" s="16"/>
      <c r="N569" s="17"/>
      <c r="P569" s="16"/>
      <c r="R569" s="17"/>
      <c r="T569" s="16"/>
      <c r="V569" s="17"/>
      <c r="AH569" s="20"/>
      <c r="AI569" s="20"/>
      <c r="AJ569" s="36"/>
      <c r="AM569" s="22"/>
      <c r="AO569" s="34"/>
    </row>
    <row r="570">
      <c r="D570" s="16"/>
      <c r="F570" s="17"/>
      <c r="H570" s="16"/>
      <c r="J570" s="17"/>
      <c r="L570" s="16"/>
      <c r="N570" s="17"/>
      <c r="P570" s="16"/>
      <c r="R570" s="17"/>
      <c r="T570" s="16"/>
      <c r="V570" s="17"/>
      <c r="AH570" s="20"/>
      <c r="AI570" s="20"/>
      <c r="AJ570" s="36"/>
      <c r="AM570" s="22"/>
      <c r="AO570" s="34"/>
    </row>
    <row r="571">
      <c r="D571" s="16"/>
      <c r="F571" s="17"/>
      <c r="H571" s="16"/>
      <c r="J571" s="17"/>
      <c r="L571" s="16"/>
      <c r="N571" s="17"/>
      <c r="P571" s="16"/>
      <c r="R571" s="17"/>
      <c r="T571" s="16"/>
      <c r="V571" s="17"/>
      <c r="AH571" s="20"/>
      <c r="AI571" s="20"/>
      <c r="AJ571" s="36"/>
      <c r="AM571" s="22"/>
      <c r="AO571" s="34"/>
    </row>
    <row r="572">
      <c r="D572" s="16"/>
      <c r="F572" s="17"/>
      <c r="H572" s="16"/>
      <c r="J572" s="17"/>
      <c r="L572" s="16"/>
      <c r="N572" s="17"/>
      <c r="P572" s="16"/>
      <c r="R572" s="17"/>
      <c r="T572" s="16"/>
      <c r="V572" s="17"/>
      <c r="AH572" s="20"/>
      <c r="AI572" s="20"/>
      <c r="AJ572" s="36"/>
      <c r="AM572" s="22"/>
      <c r="AO572" s="34"/>
    </row>
    <row r="573">
      <c r="D573" s="16"/>
      <c r="F573" s="17"/>
      <c r="H573" s="16"/>
      <c r="J573" s="17"/>
      <c r="L573" s="16"/>
      <c r="N573" s="17"/>
      <c r="P573" s="16"/>
      <c r="R573" s="17"/>
      <c r="T573" s="16"/>
      <c r="V573" s="17"/>
      <c r="AH573" s="20"/>
      <c r="AI573" s="20"/>
      <c r="AJ573" s="36"/>
      <c r="AM573" s="22"/>
      <c r="AO573" s="34"/>
    </row>
    <row r="574">
      <c r="D574" s="16"/>
      <c r="F574" s="17"/>
      <c r="H574" s="16"/>
      <c r="J574" s="17"/>
      <c r="L574" s="16"/>
      <c r="N574" s="17"/>
      <c r="P574" s="16"/>
      <c r="R574" s="17"/>
      <c r="T574" s="16"/>
      <c r="V574" s="17"/>
      <c r="AH574" s="20"/>
      <c r="AI574" s="20"/>
      <c r="AJ574" s="36"/>
      <c r="AM574" s="22"/>
      <c r="AO574" s="34"/>
    </row>
    <row r="575">
      <c r="D575" s="16"/>
      <c r="F575" s="17"/>
      <c r="H575" s="16"/>
      <c r="J575" s="17"/>
      <c r="L575" s="16"/>
      <c r="N575" s="17"/>
      <c r="P575" s="16"/>
      <c r="R575" s="17"/>
      <c r="T575" s="16"/>
      <c r="V575" s="17"/>
      <c r="AH575" s="20"/>
      <c r="AI575" s="20"/>
      <c r="AJ575" s="36"/>
      <c r="AM575" s="22"/>
      <c r="AO575" s="34"/>
    </row>
    <row r="576">
      <c r="D576" s="16"/>
      <c r="F576" s="17"/>
      <c r="H576" s="16"/>
      <c r="J576" s="17"/>
      <c r="L576" s="16"/>
      <c r="N576" s="17"/>
      <c r="P576" s="16"/>
      <c r="R576" s="17"/>
      <c r="T576" s="16"/>
      <c r="V576" s="17"/>
      <c r="AH576" s="20"/>
      <c r="AI576" s="20"/>
      <c r="AJ576" s="36"/>
      <c r="AM576" s="22"/>
      <c r="AO576" s="34"/>
    </row>
    <row r="577">
      <c r="D577" s="16"/>
      <c r="F577" s="17"/>
      <c r="H577" s="16"/>
      <c r="J577" s="17"/>
      <c r="L577" s="16"/>
      <c r="N577" s="17"/>
      <c r="P577" s="16"/>
      <c r="R577" s="17"/>
      <c r="T577" s="16"/>
      <c r="V577" s="17"/>
      <c r="AH577" s="20"/>
      <c r="AI577" s="20"/>
      <c r="AJ577" s="36"/>
      <c r="AM577" s="22"/>
      <c r="AO577" s="34"/>
    </row>
    <row r="578">
      <c r="D578" s="16"/>
      <c r="F578" s="17"/>
      <c r="H578" s="16"/>
      <c r="J578" s="17"/>
      <c r="L578" s="16"/>
      <c r="N578" s="17"/>
      <c r="P578" s="16"/>
      <c r="R578" s="17"/>
      <c r="T578" s="16"/>
      <c r="V578" s="17"/>
      <c r="AH578" s="20"/>
      <c r="AI578" s="20"/>
      <c r="AJ578" s="36"/>
      <c r="AM578" s="22"/>
      <c r="AO578" s="34"/>
    </row>
    <row r="579">
      <c r="D579" s="16"/>
      <c r="F579" s="17"/>
      <c r="H579" s="16"/>
      <c r="J579" s="17"/>
      <c r="L579" s="16"/>
      <c r="N579" s="17"/>
      <c r="P579" s="16"/>
      <c r="R579" s="17"/>
      <c r="T579" s="16"/>
      <c r="V579" s="17"/>
      <c r="AH579" s="20"/>
      <c r="AI579" s="20"/>
      <c r="AJ579" s="36"/>
      <c r="AM579" s="22"/>
      <c r="AO579" s="34"/>
    </row>
    <row r="580">
      <c r="D580" s="16"/>
      <c r="F580" s="17"/>
      <c r="H580" s="16"/>
      <c r="J580" s="17"/>
      <c r="L580" s="16"/>
      <c r="N580" s="17"/>
      <c r="P580" s="16"/>
      <c r="R580" s="17"/>
      <c r="T580" s="16"/>
      <c r="V580" s="17"/>
      <c r="AH580" s="20"/>
      <c r="AI580" s="20"/>
      <c r="AJ580" s="36"/>
      <c r="AM580" s="22"/>
      <c r="AO580" s="34"/>
    </row>
    <row r="581">
      <c r="D581" s="16"/>
      <c r="F581" s="17"/>
      <c r="H581" s="16"/>
      <c r="J581" s="17"/>
      <c r="L581" s="16"/>
      <c r="N581" s="17"/>
      <c r="P581" s="16"/>
      <c r="R581" s="17"/>
      <c r="T581" s="16"/>
      <c r="V581" s="17"/>
      <c r="AH581" s="20"/>
      <c r="AI581" s="20"/>
      <c r="AJ581" s="36"/>
      <c r="AM581" s="22"/>
      <c r="AO581" s="34"/>
    </row>
    <row r="582">
      <c r="D582" s="16"/>
      <c r="F582" s="17"/>
      <c r="H582" s="16"/>
      <c r="J582" s="17"/>
      <c r="L582" s="16"/>
      <c r="N582" s="17"/>
      <c r="P582" s="16"/>
      <c r="R582" s="17"/>
      <c r="T582" s="16"/>
      <c r="V582" s="17"/>
      <c r="AH582" s="20"/>
      <c r="AI582" s="20"/>
      <c r="AJ582" s="36"/>
      <c r="AM582" s="22"/>
      <c r="AO582" s="34"/>
    </row>
    <row r="583">
      <c r="D583" s="16"/>
      <c r="F583" s="17"/>
      <c r="H583" s="16"/>
      <c r="J583" s="17"/>
      <c r="L583" s="16"/>
      <c r="N583" s="17"/>
      <c r="P583" s="16"/>
      <c r="R583" s="17"/>
      <c r="T583" s="16"/>
      <c r="V583" s="17"/>
      <c r="AH583" s="20"/>
      <c r="AI583" s="20"/>
      <c r="AJ583" s="36"/>
      <c r="AM583" s="22"/>
      <c r="AO583" s="34"/>
    </row>
    <row r="584">
      <c r="D584" s="16"/>
      <c r="F584" s="17"/>
      <c r="H584" s="16"/>
      <c r="J584" s="17"/>
      <c r="L584" s="16"/>
      <c r="N584" s="17"/>
      <c r="P584" s="16"/>
      <c r="R584" s="17"/>
      <c r="T584" s="16"/>
      <c r="V584" s="17"/>
      <c r="AH584" s="20"/>
      <c r="AI584" s="20"/>
      <c r="AJ584" s="36"/>
      <c r="AM584" s="22"/>
      <c r="AO584" s="34"/>
    </row>
    <row r="585">
      <c r="D585" s="16"/>
      <c r="F585" s="17"/>
      <c r="H585" s="16"/>
      <c r="J585" s="17"/>
      <c r="L585" s="16"/>
      <c r="N585" s="17"/>
      <c r="P585" s="16"/>
      <c r="R585" s="17"/>
      <c r="T585" s="16"/>
      <c r="V585" s="17"/>
      <c r="AH585" s="20"/>
      <c r="AI585" s="20"/>
      <c r="AJ585" s="36"/>
      <c r="AM585" s="22"/>
      <c r="AO585" s="34"/>
    </row>
    <row r="586">
      <c r="D586" s="16"/>
      <c r="F586" s="17"/>
      <c r="H586" s="16"/>
      <c r="J586" s="17"/>
      <c r="L586" s="16"/>
      <c r="N586" s="17"/>
      <c r="P586" s="16"/>
      <c r="R586" s="17"/>
      <c r="T586" s="16"/>
      <c r="V586" s="17"/>
      <c r="AH586" s="20"/>
      <c r="AI586" s="20"/>
      <c r="AJ586" s="36"/>
      <c r="AM586" s="22"/>
      <c r="AO586" s="34"/>
    </row>
    <row r="587">
      <c r="D587" s="16"/>
      <c r="F587" s="17"/>
      <c r="H587" s="16"/>
      <c r="J587" s="17"/>
      <c r="L587" s="16"/>
      <c r="N587" s="17"/>
      <c r="P587" s="16"/>
      <c r="R587" s="17"/>
      <c r="T587" s="16"/>
      <c r="V587" s="17"/>
      <c r="AH587" s="20"/>
      <c r="AI587" s="20"/>
      <c r="AJ587" s="36"/>
      <c r="AM587" s="22"/>
      <c r="AO587" s="34"/>
    </row>
    <row r="588">
      <c r="D588" s="16"/>
      <c r="F588" s="17"/>
      <c r="H588" s="16"/>
      <c r="J588" s="17"/>
      <c r="L588" s="16"/>
      <c r="N588" s="17"/>
      <c r="P588" s="16"/>
      <c r="R588" s="17"/>
      <c r="T588" s="16"/>
      <c r="V588" s="17"/>
      <c r="AH588" s="20"/>
      <c r="AI588" s="20"/>
      <c r="AJ588" s="36"/>
      <c r="AM588" s="22"/>
      <c r="AO588" s="34"/>
    </row>
    <row r="589">
      <c r="D589" s="16"/>
      <c r="F589" s="17"/>
      <c r="H589" s="16"/>
      <c r="J589" s="17"/>
      <c r="L589" s="16"/>
      <c r="N589" s="17"/>
      <c r="P589" s="16"/>
      <c r="R589" s="17"/>
      <c r="T589" s="16"/>
      <c r="V589" s="17"/>
      <c r="AH589" s="20"/>
      <c r="AI589" s="20"/>
      <c r="AJ589" s="36"/>
      <c r="AM589" s="22"/>
      <c r="AO589" s="34"/>
    </row>
    <row r="590">
      <c r="D590" s="16"/>
      <c r="F590" s="17"/>
      <c r="H590" s="16"/>
      <c r="J590" s="17"/>
      <c r="L590" s="16"/>
      <c r="N590" s="17"/>
      <c r="P590" s="16"/>
      <c r="R590" s="17"/>
      <c r="T590" s="16"/>
      <c r="V590" s="17"/>
      <c r="AH590" s="20"/>
      <c r="AI590" s="20"/>
      <c r="AJ590" s="36"/>
      <c r="AM590" s="22"/>
      <c r="AO590" s="34"/>
    </row>
    <row r="591">
      <c r="D591" s="16"/>
      <c r="F591" s="17"/>
      <c r="H591" s="16"/>
      <c r="J591" s="17"/>
      <c r="L591" s="16"/>
      <c r="N591" s="17"/>
      <c r="P591" s="16"/>
      <c r="R591" s="17"/>
      <c r="T591" s="16"/>
      <c r="V591" s="17"/>
      <c r="AH591" s="20"/>
      <c r="AI591" s="20"/>
      <c r="AJ591" s="36"/>
      <c r="AM591" s="22"/>
      <c r="AO591" s="34"/>
    </row>
    <row r="592">
      <c r="D592" s="16"/>
      <c r="F592" s="17"/>
      <c r="H592" s="16"/>
      <c r="J592" s="17"/>
      <c r="L592" s="16"/>
      <c r="N592" s="17"/>
      <c r="P592" s="16"/>
      <c r="R592" s="17"/>
      <c r="T592" s="16"/>
      <c r="V592" s="17"/>
      <c r="AH592" s="20"/>
      <c r="AI592" s="20"/>
      <c r="AJ592" s="36"/>
      <c r="AM592" s="22"/>
      <c r="AO592" s="34"/>
    </row>
    <row r="593">
      <c r="D593" s="16"/>
      <c r="F593" s="17"/>
      <c r="H593" s="16"/>
      <c r="J593" s="17"/>
      <c r="L593" s="16"/>
      <c r="N593" s="17"/>
      <c r="P593" s="16"/>
      <c r="R593" s="17"/>
      <c r="T593" s="16"/>
      <c r="V593" s="17"/>
      <c r="AH593" s="20"/>
      <c r="AI593" s="20"/>
      <c r="AJ593" s="36"/>
      <c r="AM593" s="22"/>
      <c r="AO593" s="34"/>
    </row>
    <row r="594">
      <c r="D594" s="16"/>
      <c r="F594" s="17"/>
      <c r="H594" s="16"/>
      <c r="J594" s="17"/>
      <c r="L594" s="16"/>
      <c r="N594" s="17"/>
      <c r="P594" s="16"/>
      <c r="R594" s="17"/>
      <c r="T594" s="16"/>
      <c r="V594" s="17"/>
      <c r="AH594" s="20"/>
      <c r="AI594" s="20"/>
      <c r="AJ594" s="36"/>
      <c r="AM594" s="22"/>
      <c r="AO594" s="34"/>
    </row>
    <row r="595">
      <c r="D595" s="16"/>
      <c r="F595" s="17"/>
      <c r="H595" s="16"/>
      <c r="J595" s="17"/>
      <c r="L595" s="16"/>
      <c r="N595" s="17"/>
      <c r="P595" s="16"/>
      <c r="R595" s="17"/>
      <c r="T595" s="16"/>
      <c r="V595" s="17"/>
      <c r="AH595" s="20"/>
      <c r="AI595" s="20"/>
      <c r="AJ595" s="36"/>
      <c r="AM595" s="22"/>
      <c r="AO595" s="34"/>
    </row>
    <row r="596">
      <c r="D596" s="16"/>
      <c r="F596" s="17"/>
      <c r="H596" s="16"/>
      <c r="J596" s="17"/>
      <c r="L596" s="16"/>
      <c r="N596" s="17"/>
      <c r="P596" s="16"/>
      <c r="R596" s="17"/>
      <c r="T596" s="16"/>
      <c r="V596" s="17"/>
      <c r="AH596" s="20"/>
      <c r="AI596" s="20"/>
      <c r="AJ596" s="36"/>
      <c r="AM596" s="22"/>
      <c r="AO596" s="34"/>
    </row>
    <row r="597">
      <c r="D597" s="16"/>
      <c r="F597" s="17"/>
      <c r="H597" s="16"/>
      <c r="J597" s="17"/>
      <c r="L597" s="16"/>
      <c r="N597" s="17"/>
      <c r="P597" s="16"/>
      <c r="R597" s="17"/>
      <c r="T597" s="16"/>
      <c r="V597" s="17"/>
      <c r="AH597" s="20"/>
      <c r="AI597" s="20"/>
      <c r="AJ597" s="36"/>
      <c r="AM597" s="22"/>
      <c r="AO597" s="34"/>
    </row>
    <row r="598">
      <c r="D598" s="16"/>
      <c r="F598" s="17"/>
      <c r="H598" s="16"/>
      <c r="J598" s="17"/>
      <c r="L598" s="16"/>
      <c r="N598" s="17"/>
      <c r="P598" s="16"/>
      <c r="R598" s="17"/>
      <c r="T598" s="16"/>
      <c r="V598" s="17"/>
      <c r="AH598" s="20"/>
      <c r="AI598" s="20"/>
      <c r="AJ598" s="36"/>
      <c r="AM598" s="22"/>
      <c r="AO598" s="34"/>
    </row>
    <row r="599">
      <c r="D599" s="16"/>
      <c r="F599" s="17"/>
      <c r="H599" s="16"/>
      <c r="J599" s="17"/>
      <c r="L599" s="16"/>
      <c r="N599" s="17"/>
      <c r="P599" s="16"/>
      <c r="R599" s="17"/>
      <c r="T599" s="16"/>
      <c r="V599" s="17"/>
      <c r="AH599" s="20"/>
      <c r="AI599" s="20"/>
      <c r="AJ599" s="36"/>
      <c r="AM599" s="22"/>
      <c r="AO599" s="34"/>
    </row>
    <row r="600">
      <c r="D600" s="16"/>
      <c r="F600" s="17"/>
      <c r="H600" s="16"/>
      <c r="J600" s="17"/>
      <c r="L600" s="16"/>
      <c r="N600" s="17"/>
      <c r="P600" s="16"/>
      <c r="R600" s="17"/>
      <c r="T600" s="16"/>
      <c r="V600" s="17"/>
      <c r="AH600" s="20"/>
      <c r="AI600" s="20"/>
      <c r="AJ600" s="36"/>
      <c r="AM600" s="22"/>
      <c r="AO600" s="34"/>
    </row>
    <row r="601">
      <c r="D601" s="16"/>
      <c r="F601" s="17"/>
      <c r="H601" s="16"/>
      <c r="J601" s="17"/>
      <c r="L601" s="16"/>
      <c r="N601" s="17"/>
      <c r="P601" s="16"/>
      <c r="R601" s="17"/>
      <c r="T601" s="16"/>
      <c r="V601" s="17"/>
      <c r="AH601" s="20"/>
      <c r="AI601" s="20"/>
      <c r="AJ601" s="36"/>
      <c r="AM601" s="22"/>
      <c r="AO601" s="34"/>
    </row>
    <row r="602">
      <c r="D602" s="16"/>
      <c r="F602" s="17"/>
      <c r="H602" s="16"/>
      <c r="J602" s="17"/>
      <c r="L602" s="16"/>
      <c r="N602" s="17"/>
      <c r="P602" s="16"/>
      <c r="R602" s="17"/>
      <c r="T602" s="16"/>
      <c r="V602" s="17"/>
      <c r="AH602" s="20"/>
      <c r="AI602" s="20"/>
      <c r="AJ602" s="36"/>
      <c r="AM602" s="22"/>
      <c r="AO602" s="34"/>
    </row>
    <row r="603">
      <c r="D603" s="16"/>
      <c r="F603" s="17"/>
      <c r="H603" s="16"/>
      <c r="J603" s="17"/>
      <c r="L603" s="16"/>
      <c r="N603" s="17"/>
      <c r="P603" s="16"/>
      <c r="R603" s="17"/>
      <c r="T603" s="16"/>
      <c r="V603" s="17"/>
      <c r="AH603" s="20"/>
      <c r="AI603" s="20"/>
      <c r="AJ603" s="36"/>
      <c r="AM603" s="22"/>
      <c r="AO603" s="34"/>
    </row>
    <row r="604">
      <c r="D604" s="16"/>
      <c r="F604" s="17"/>
      <c r="H604" s="16"/>
      <c r="J604" s="17"/>
      <c r="L604" s="16"/>
      <c r="N604" s="17"/>
      <c r="P604" s="16"/>
      <c r="R604" s="17"/>
      <c r="T604" s="16"/>
      <c r="V604" s="17"/>
      <c r="AH604" s="20"/>
      <c r="AI604" s="20"/>
      <c r="AJ604" s="36"/>
      <c r="AM604" s="22"/>
      <c r="AO604" s="34"/>
    </row>
    <row r="605">
      <c r="D605" s="16"/>
      <c r="F605" s="17"/>
      <c r="H605" s="16"/>
      <c r="J605" s="17"/>
      <c r="L605" s="16"/>
      <c r="N605" s="17"/>
      <c r="P605" s="16"/>
      <c r="R605" s="17"/>
      <c r="T605" s="16"/>
      <c r="V605" s="17"/>
      <c r="AH605" s="20"/>
      <c r="AI605" s="20"/>
      <c r="AJ605" s="36"/>
      <c r="AM605" s="22"/>
      <c r="AO605" s="34"/>
    </row>
    <row r="606">
      <c r="D606" s="16"/>
      <c r="F606" s="17"/>
      <c r="H606" s="16"/>
      <c r="J606" s="17"/>
      <c r="L606" s="16"/>
      <c r="N606" s="17"/>
      <c r="P606" s="16"/>
      <c r="R606" s="17"/>
      <c r="T606" s="16"/>
      <c r="V606" s="17"/>
      <c r="AH606" s="20"/>
      <c r="AI606" s="20"/>
      <c r="AJ606" s="36"/>
      <c r="AM606" s="22"/>
      <c r="AO606" s="34"/>
    </row>
    <row r="607">
      <c r="D607" s="16"/>
      <c r="F607" s="17"/>
      <c r="H607" s="16"/>
      <c r="J607" s="17"/>
      <c r="L607" s="16"/>
      <c r="N607" s="17"/>
      <c r="P607" s="16"/>
      <c r="R607" s="17"/>
      <c r="T607" s="16"/>
      <c r="V607" s="17"/>
      <c r="AH607" s="20"/>
      <c r="AI607" s="20"/>
      <c r="AJ607" s="36"/>
      <c r="AM607" s="22"/>
      <c r="AO607" s="34"/>
    </row>
    <row r="608">
      <c r="D608" s="16"/>
      <c r="F608" s="17"/>
      <c r="H608" s="16"/>
      <c r="J608" s="17"/>
      <c r="L608" s="16"/>
      <c r="N608" s="17"/>
      <c r="P608" s="16"/>
      <c r="R608" s="17"/>
      <c r="T608" s="16"/>
      <c r="V608" s="17"/>
      <c r="AH608" s="20"/>
      <c r="AI608" s="20"/>
      <c r="AJ608" s="36"/>
      <c r="AM608" s="22"/>
      <c r="AO608" s="34"/>
    </row>
    <row r="609">
      <c r="D609" s="16"/>
      <c r="F609" s="17"/>
      <c r="H609" s="16"/>
      <c r="J609" s="17"/>
      <c r="L609" s="16"/>
      <c r="N609" s="17"/>
      <c r="P609" s="16"/>
      <c r="R609" s="17"/>
      <c r="T609" s="16"/>
      <c r="V609" s="17"/>
      <c r="AH609" s="20"/>
      <c r="AI609" s="20"/>
      <c r="AJ609" s="36"/>
      <c r="AM609" s="22"/>
      <c r="AO609" s="34"/>
    </row>
    <row r="610">
      <c r="D610" s="16"/>
      <c r="F610" s="17"/>
      <c r="H610" s="16"/>
      <c r="J610" s="17"/>
      <c r="L610" s="16"/>
      <c r="N610" s="17"/>
      <c r="P610" s="16"/>
      <c r="R610" s="17"/>
      <c r="T610" s="16"/>
      <c r="V610" s="17"/>
      <c r="AH610" s="20"/>
      <c r="AI610" s="20"/>
      <c r="AJ610" s="36"/>
      <c r="AM610" s="22"/>
      <c r="AO610" s="34"/>
    </row>
    <row r="611">
      <c r="D611" s="16"/>
      <c r="F611" s="17"/>
      <c r="H611" s="16"/>
      <c r="J611" s="17"/>
      <c r="L611" s="16"/>
      <c r="N611" s="17"/>
      <c r="P611" s="16"/>
      <c r="R611" s="17"/>
      <c r="T611" s="16"/>
      <c r="V611" s="17"/>
      <c r="AH611" s="20"/>
      <c r="AI611" s="20"/>
      <c r="AJ611" s="36"/>
      <c r="AM611" s="22"/>
      <c r="AO611" s="34"/>
    </row>
    <row r="612">
      <c r="D612" s="16"/>
      <c r="F612" s="17"/>
      <c r="H612" s="16"/>
      <c r="J612" s="17"/>
      <c r="L612" s="16"/>
      <c r="N612" s="17"/>
      <c r="P612" s="16"/>
      <c r="R612" s="17"/>
      <c r="T612" s="16"/>
      <c r="V612" s="17"/>
      <c r="AH612" s="20"/>
      <c r="AI612" s="20"/>
      <c r="AJ612" s="36"/>
      <c r="AM612" s="22"/>
      <c r="AO612" s="34"/>
    </row>
    <row r="613">
      <c r="D613" s="16"/>
      <c r="F613" s="17"/>
      <c r="H613" s="16"/>
      <c r="J613" s="17"/>
      <c r="L613" s="16"/>
      <c r="N613" s="17"/>
      <c r="P613" s="16"/>
      <c r="R613" s="17"/>
      <c r="T613" s="16"/>
      <c r="V613" s="17"/>
      <c r="AH613" s="20"/>
      <c r="AI613" s="20"/>
      <c r="AJ613" s="36"/>
      <c r="AM613" s="22"/>
      <c r="AO613" s="34"/>
    </row>
    <row r="614">
      <c r="D614" s="16"/>
      <c r="F614" s="17"/>
      <c r="H614" s="16"/>
      <c r="J614" s="17"/>
      <c r="L614" s="16"/>
      <c r="N614" s="17"/>
      <c r="P614" s="16"/>
      <c r="R614" s="17"/>
      <c r="T614" s="16"/>
      <c r="V614" s="17"/>
      <c r="AH614" s="20"/>
      <c r="AI614" s="20"/>
      <c r="AJ614" s="36"/>
      <c r="AM614" s="22"/>
      <c r="AO614" s="34"/>
    </row>
    <row r="615">
      <c r="D615" s="16"/>
      <c r="F615" s="17"/>
      <c r="H615" s="16"/>
      <c r="J615" s="17"/>
      <c r="L615" s="16"/>
      <c r="N615" s="17"/>
      <c r="P615" s="16"/>
      <c r="R615" s="17"/>
      <c r="T615" s="16"/>
      <c r="V615" s="17"/>
      <c r="AH615" s="20"/>
      <c r="AI615" s="20"/>
      <c r="AJ615" s="36"/>
      <c r="AM615" s="22"/>
      <c r="AO615" s="34"/>
    </row>
    <row r="616">
      <c r="D616" s="16"/>
      <c r="F616" s="17"/>
      <c r="H616" s="16"/>
      <c r="J616" s="17"/>
      <c r="L616" s="16"/>
      <c r="N616" s="17"/>
      <c r="P616" s="16"/>
      <c r="R616" s="17"/>
      <c r="T616" s="16"/>
      <c r="V616" s="17"/>
      <c r="AH616" s="20"/>
      <c r="AI616" s="20"/>
      <c r="AJ616" s="36"/>
      <c r="AM616" s="22"/>
      <c r="AO616" s="34"/>
    </row>
    <row r="617">
      <c r="D617" s="16"/>
      <c r="F617" s="17"/>
      <c r="H617" s="16"/>
      <c r="J617" s="17"/>
      <c r="L617" s="16"/>
      <c r="N617" s="17"/>
      <c r="P617" s="16"/>
      <c r="R617" s="17"/>
      <c r="T617" s="16"/>
      <c r="V617" s="17"/>
      <c r="AH617" s="20"/>
      <c r="AI617" s="20"/>
      <c r="AJ617" s="36"/>
      <c r="AM617" s="22"/>
      <c r="AO617" s="34"/>
    </row>
    <row r="618">
      <c r="D618" s="16"/>
      <c r="F618" s="17"/>
      <c r="H618" s="16"/>
      <c r="J618" s="17"/>
      <c r="L618" s="16"/>
      <c r="N618" s="17"/>
      <c r="P618" s="16"/>
      <c r="R618" s="17"/>
      <c r="T618" s="16"/>
      <c r="V618" s="17"/>
      <c r="AH618" s="20"/>
      <c r="AI618" s="20"/>
      <c r="AJ618" s="36"/>
      <c r="AM618" s="22"/>
      <c r="AO618" s="34"/>
    </row>
    <row r="619">
      <c r="D619" s="16"/>
      <c r="F619" s="17"/>
      <c r="H619" s="16"/>
      <c r="J619" s="17"/>
      <c r="L619" s="16"/>
      <c r="N619" s="17"/>
      <c r="P619" s="16"/>
      <c r="R619" s="17"/>
      <c r="T619" s="16"/>
      <c r="V619" s="17"/>
      <c r="AH619" s="20"/>
      <c r="AI619" s="20"/>
      <c r="AJ619" s="36"/>
      <c r="AM619" s="22"/>
      <c r="AO619" s="34"/>
    </row>
    <row r="620">
      <c r="D620" s="16"/>
      <c r="F620" s="17"/>
      <c r="H620" s="16"/>
      <c r="J620" s="17"/>
      <c r="L620" s="16"/>
      <c r="N620" s="17"/>
      <c r="P620" s="16"/>
      <c r="R620" s="17"/>
      <c r="T620" s="16"/>
      <c r="V620" s="17"/>
      <c r="AH620" s="20"/>
      <c r="AI620" s="20"/>
      <c r="AJ620" s="36"/>
      <c r="AM620" s="22"/>
      <c r="AO620" s="34"/>
    </row>
    <row r="621">
      <c r="D621" s="16"/>
      <c r="F621" s="17"/>
      <c r="H621" s="16"/>
      <c r="J621" s="17"/>
      <c r="L621" s="16"/>
      <c r="N621" s="17"/>
      <c r="P621" s="16"/>
      <c r="R621" s="17"/>
      <c r="T621" s="16"/>
      <c r="V621" s="17"/>
      <c r="AH621" s="20"/>
      <c r="AI621" s="20"/>
      <c r="AJ621" s="36"/>
      <c r="AM621" s="22"/>
      <c r="AO621" s="34"/>
    </row>
    <row r="622">
      <c r="D622" s="16"/>
      <c r="F622" s="17"/>
      <c r="H622" s="16"/>
      <c r="J622" s="17"/>
      <c r="L622" s="16"/>
      <c r="N622" s="17"/>
      <c r="P622" s="16"/>
      <c r="R622" s="17"/>
      <c r="T622" s="16"/>
      <c r="V622" s="17"/>
      <c r="AH622" s="20"/>
      <c r="AI622" s="20"/>
      <c r="AJ622" s="36"/>
      <c r="AM622" s="22"/>
      <c r="AO622" s="34"/>
    </row>
    <row r="623">
      <c r="D623" s="16"/>
      <c r="F623" s="17"/>
      <c r="H623" s="16"/>
      <c r="J623" s="17"/>
      <c r="L623" s="16"/>
      <c r="N623" s="17"/>
      <c r="P623" s="16"/>
      <c r="R623" s="17"/>
      <c r="T623" s="16"/>
      <c r="V623" s="17"/>
      <c r="AH623" s="20"/>
      <c r="AI623" s="20"/>
      <c r="AJ623" s="36"/>
      <c r="AM623" s="22"/>
      <c r="AO623" s="34"/>
    </row>
    <row r="624">
      <c r="D624" s="16"/>
      <c r="F624" s="17"/>
      <c r="H624" s="16"/>
      <c r="J624" s="17"/>
      <c r="L624" s="16"/>
      <c r="N624" s="17"/>
      <c r="P624" s="16"/>
      <c r="R624" s="17"/>
      <c r="T624" s="16"/>
      <c r="V624" s="17"/>
      <c r="AH624" s="20"/>
      <c r="AI624" s="20"/>
      <c r="AJ624" s="36"/>
      <c r="AM624" s="22"/>
      <c r="AO624" s="34"/>
    </row>
    <row r="625">
      <c r="D625" s="16"/>
      <c r="F625" s="17"/>
      <c r="H625" s="16"/>
      <c r="J625" s="17"/>
      <c r="L625" s="16"/>
      <c r="N625" s="17"/>
      <c r="P625" s="16"/>
      <c r="R625" s="17"/>
      <c r="T625" s="16"/>
      <c r="V625" s="17"/>
      <c r="AH625" s="20"/>
      <c r="AI625" s="20"/>
      <c r="AJ625" s="36"/>
      <c r="AM625" s="22"/>
      <c r="AO625" s="34"/>
    </row>
    <row r="626">
      <c r="D626" s="16"/>
      <c r="F626" s="17"/>
      <c r="H626" s="16"/>
      <c r="J626" s="17"/>
      <c r="L626" s="16"/>
      <c r="N626" s="17"/>
      <c r="P626" s="16"/>
      <c r="R626" s="17"/>
      <c r="T626" s="16"/>
      <c r="V626" s="17"/>
      <c r="AH626" s="20"/>
      <c r="AI626" s="20"/>
      <c r="AJ626" s="36"/>
      <c r="AM626" s="22"/>
      <c r="AO626" s="34"/>
    </row>
    <row r="627">
      <c r="D627" s="16"/>
      <c r="F627" s="17"/>
      <c r="H627" s="16"/>
      <c r="J627" s="17"/>
      <c r="L627" s="16"/>
      <c r="N627" s="17"/>
      <c r="P627" s="16"/>
      <c r="R627" s="17"/>
      <c r="T627" s="16"/>
      <c r="V627" s="17"/>
      <c r="AH627" s="20"/>
      <c r="AI627" s="20"/>
      <c r="AJ627" s="36"/>
      <c r="AM627" s="22"/>
      <c r="AO627" s="34"/>
    </row>
    <row r="628">
      <c r="D628" s="16"/>
      <c r="F628" s="17"/>
      <c r="H628" s="16"/>
      <c r="J628" s="17"/>
      <c r="L628" s="16"/>
      <c r="N628" s="17"/>
      <c r="P628" s="16"/>
      <c r="R628" s="17"/>
      <c r="T628" s="16"/>
      <c r="V628" s="17"/>
      <c r="AH628" s="20"/>
      <c r="AI628" s="20"/>
      <c r="AJ628" s="36"/>
      <c r="AM628" s="22"/>
      <c r="AO628" s="34"/>
    </row>
    <row r="629">
      <c r="D629" s="16"/>
      <c r="F629" s="17"/>
      <c r="H629" s="16"/>
      <c r="J629" s="17"/>
      <c r="L629" s="16"/>
      <c r="N629" s="17"/>
      <c r="P629" s="16"/>
      <c r="R629" s="17"/>
      <c r="T629" s="16"/>
      <c r="V629" s="17"/>
      <c r="AH629" s="20"/>
      <c r="AI629" s="20"/>
      <c r="AJ629" s="36"/>
      <c r="AM629" s="22"/>
      <c r="AO629" s="34"/>
    </row>
    <row r="630">
      <c r="D630" s="16"/>
      <c r="F630" s="17"/>
      <c r="H630" s="16"/>
      <c r="J630" s="17"/>
      <c r="L630" s="16"/>
      <c r="N630" s="17"/>
      <c r="P630" s="16"/>
      <c r="R630" s="17"/>
      <c r="T630" s="16"/>
      <c r="V630" s="17"/>
      <c r="AH630" s="20"/>
      <c r="AI630" s="20"/>
      <c r="AJ630" s="36"/>
      <c r="AM630" s="22"/>
      <c r="AO630" s="34"/>
    </row>
    <row r="631">
      <c r="D631" s="16"/>
      <c r="F631" s="17"/>
      <c r="H631" s="16"/>
      <c r="J631" s="17"/>
      <c r="L631" s="16"/>
      <c r="N631" s="17"/>
      <c r="P631" s="16"/>
      <c r="R631" s="17"/>
      <c r="T631" s="16"/>
      <c r="V631" s="17"/>
      <c r="AH631" s="20"/>
      <c r="AI631" s="20"/>
      <c r="AJ631" s="36"/>
      <c r="AM631" s="22"/>
      <c r="AO631" s="34"/>
    </row>
    <row r="632">
      <c r="D632" s="16"/>
      <c r="F632" s="17"/>
      <c r="H632" s="16"/>
      <c r="J632" s="17"/>
      <c r="L632" s="16"/>
      <c r="N632" s="17"/>
      <c r="P632" s="16"/>
      <c r="R632" s="17"/>
      <c r="T632" s="16"/>
      <c r="V632" s="17"/>
      <c r="AH632" s="20"/>
      <c r="AI632" s="20"/>
      <c r="AJ632" s="36"/>
      <c r="AM632" s="22"/>
      <c r="AO632" s="34"/>
    </row>
    <row r="633">
      <c r="D633" s="16"/>
      <c r="F633" s="17"/>
      <c r="H633" s="16"/>
      <c r="J633" s="17"/>
      <c r="L633" s="16"/>
      <c r="N633" s="17"/>
      <c r="P633" s="16"/>
      <c r="R633" s="17"/>
      <c r="T633" s="16"/>
      <c r="V633" s="17"/>
      <c r="AH633" s="20"/>
      <c r="AI633" s="20"/>
      <c r="AJ633" s="36"/>
      <c r="AM633" s="22"/>
      <c r="AO633" s="34"/>
    </row>
    <row r="634">
      <c r="D634" s="16"/>
      <c r="F634" s="17"/>
      <c r="H634" s="16"/>
      <c r="J634" s="17"/>
      <c r="L634" s="16"/>
      <c r="N634" s="17"/>
      <c r="P634" s="16"/>
      <c r="R634" s="17"/>
      <c r="T634" s="16"/>
      <c r="V634" s="17"/>
      <c r="AH634" s="20"/>
      <c r="AI634" s="20"/>
      <c r="AJ634" s="36"/>
      <c r="AM634" s="22"/>
      <c r="AO634" s="34"/>
    </row>
    <row r="635">
      <c r="D635" s="16"/>
      <c r="F635" s="17"/>
      <c r="H635" s="16"/>
      <c r="J635" s="17"/>
      <c r="L635" s="16"/>
      <c r="N635" s="17"/>
      <c r="P635" s="16"/>
      <c r="R635" s="17"/>
      <c r="T635" s="16"/>
      <c r="V635" s="17"/>
      <c r="AH635" s="20"/>
      <c r="AI635" s="20"/>
      <c r="AJ635" s="36"/>
      <c r="AM635" s="22"/>
      <c r="AO635" s="34"/>
    </row>
    <row r="636">
      <c r="D636" s="16"/>
      <c r="F636" s="17"/>
      <c r="H636" s="16"/>
      <c r="J636" s="17"/>
      <c r="L636" s="16"/>
      <c r="N636" s="17"/>
      <c r="P636" s="16"/>
      <c r="R636" s="17"/>
      <c r="T636" s="16"/>
      <c r="V636" s="17"/>
      <c r="AH636" s="20"/>
      <c r="AI636" s="20"/>
      <c r="AJ636" s="36"/>
      <c r="AM636" s="22"/>
      <c r="AO636" s="34"/>
    </row>
    <row r="637">
      <c r="D637" s="16"/>
      <c r="F637" s="17"/>
      <c r="H637" s="16"/>
      <c r="J637" s="17"/>
      <c r="L637" s="16"/>
      <c r="N637" s="17"/>
      <c r="P637" s="16"/>
      <c r="R637" s="17"/>
      <c r="T637" s="16"/>
      <c r="V637" s="17"/>
      <c r="AH637" s="20"/>
      <c r="AI637" s="20"/>
      <c r="AJ637" s="36"/>
      <c r="AM637" s="22"/>
      <c r="AO637" s="34"/>
    </row>
    <row r="638">
      <c r="D638" s="16"/>
      <c r="F638" s="17"/>
      <c r="H638" s="16"/>
      <c r="J638" s="17"/>
      <c r="L638" s="16"/>
      <c r="N638" s="17"/>
      <c r="P638" s="16"/>
      <c r="R638" s="17"/>
      <c r="T638" s="16"/>
      <c r="V638" s="17"/>
      <c r="AH638" s="20"/>
      <c r="AI638" s="20"/>
      <c r="AJ638" s="36"/>
      <c r="AM638" s="22"/>
      <c r="AO638" s="34"/>
    </row>
    <row r="639">
      <c r="D639" s="16"/>
      <c r="F639" s="17"/>
      <c r="H639" s="16"/>
      <c r="J639" s="17"/>
      <c r="L639" s="16"/>
      <c r="N639" s="17"/>
      <c r="P639" s="16"/>
      <c r="R639" s="17"/>
      <c r="T639" s="16"/>
      <c r="V639" s="17"/>
      <c r="AH639" s="20"/>
      <c r="AI639" s="20"/>
      <c r="AJ639" s="36"/>
      <c r="AM639" s="22"/>
      <c r="AO639" s="34"/>
    </row>
    <row r="640">
      <c r="D640" s="16"/>
      <c r="F640" s="17"/>
      <c r="H640" s="16"/>
      <c r="J640" s="17"/>
      <c r="L640" s="16"/>
      <c r="N640" s="17"/>
      <c r="P640" s="16"/>
      <c r="R640" s="17"/>
      <c r="T640" s="16"/>
      <c r="V640" s="17"/>
      <c r="AH640" s="20"/>
      <c r="AI640" s="20"/>
      <c r="AJ640" s="36"/>
      <c r="AM640" s="22"/>
      <c r="AO640" s="34"/>
    </row>
    <row r="641">
      <c r="D641" s="16"/>
      <c r="F641" s="17"/>
      <c r="H641" s="16"/>
      <c r="J641" s="17"/>
      <c r="L641" s="16"/>
      <c r="N641" s="17"/>
      <c r="P641" s="16"/>
      <c r="R641" s="17"/>
      <c r="T641" s="16"/>
      <c r="V641" s="17"/>
      <c r="AH641" s="20"/>
      <c r="AI641" s="20"/>
      <c r="AJ641" s="36"/>
      <c r="AM641" s="22"/>
      <c r="AO641" s="34"/>
    </row>
    <row r="642">
      <c r="D642" s="16"/>
      <c r="F642" s="17"/>
      <c r="H642" s="16"/>
      <c r="J642" s="17"/>
      <c r="L642" s="16"/>
      <c r="N642" s="17"/>
      <c r="P642" s="16"/>
      <c r="R642" s="17"/>
      <c r="T642" s="16"/>
      <c r="V642" s="17"/>
      <c r="AH642" s="20"/>
      <c r="AI642" s="20"/>
      <c r="AJ642" s="36"/>
      <c r="AM642" s="22"/>
      <c r="AO642" s="34"/>
    </row>
    <row r="643">
      <c r="D643" s="16"/>
      <c r="F643" s="17"/>
      <c r="H643" s="16"/>
      <c r="J643" s="17"/>
      <c r="L643" s="16"/>
      <c r="N643" s="17"/>
      <c r="P643" s="16"/>
      <c r="R643" s="17"/>
      <c r="T643" s="16"/>
      <c r="V643" s="17"/>
      <c r="AH643" s="20"/>
      <c r="AI643" s="20"/>
      <c r="AJ643" s="36"/>
      <c r="AM643" s="22"/>
      <c r="AO643" s="34"/>
    </row>
    <row r="644">
      <c r="D644" s="16"/>
      <c r="F644" s="17"/>
      <c r="H644" s="16"/>
      <c r="J644" s="17"/>
      <c r="L644" s="16"/>
      <c r="N644" s="17"/>
      <c r="P644" s="16"/>
      <c r="R644" s="17"/>
      <c r="T644" s="16"/>
      <c r="V644" s="17"/>
      <c r="AH644" s="20"/>
      <c r="AI644" s="20"/>
      <c r="AJ644" s="36"/>
      <c r="AM644" s="22"/>
      <c r="AO644" s="34"/>
    </row>
    <row r="645">
      <c r="D645" s="16"/>
      <c r="F645" s="17"/>
      <c r="H645" s="16"/>
      <c r="J645" s="17"/>
      <c r="L645" s="16"/>
      <c r="N645" s="17"/>
      <c r="P645" s="16"/>
      <c r="R645" s="17"/>
      <c r="T645" s="16"/>
      <c r="V645" s="17"/>
      <c r="AH645" s="20"/>
      <c r="AI645" s="20"/>
      <c r="AJ645" s="36"/>
      <c r="AM645" s="22"/>
      <c r="AO645" s="34"/>
    </row>
    <row r="646">
      <c r="D646" s="16"/>
      <c r="F646" s="17"/>
      <c r="H646" s="16"/>
      <c r="J646" s="17"/>
      <c r="L646" s="16"/>
      <c r="N646" s="17"/>
      <c r="P646" s="16"/>
      <c r="R646" s="17"/>
      <c r="T646" s="16"/>
      <c r="V646" s="17"/>
      <c r="AH646" s="20"/>
      <c r="AI646" s="20"/>
      <c r="AJ646" s="36"/>
      <c r="AM646" s="22"/>
      <c r="AO646" s="34"/>
    </row>
    <row r="647">
      <c r="D647" s="16"/>
      <c r="F647" s="17"/>
      <c r="H647" s="16"/>
      <c r="J647" s="17"/>
      <c r="L647" s="16"/>
      <c r="N647" s="17"/>
      <c r="P647" s="16"/>
      <c r="R647" s="17"/>
      <c r="T647" s="16"/>
      <c r="V647" s="17"/>
      <c r="AH647" s="20"/>
      <c r="AI647" s="20"/>
      <c r="AJ647" s="36"/>
      <c r="AM647" s="22"/>
      <c r="AO647" s="34"/>
    </row>
    <row r="648">
      <c r="D648" s="16"/>
      <c r="F648" s="17"/>
      <c r="H648" s="16"/>
      <c r="J648" s="17"/>
      <c r="L648" s="16"/>
      <c r="N648" s="17"/>
      <c r="P648" s="16"/>
      <c r="R648" s="17"/>
      <c r="T648" s="16"/>
      <c r="V648" s="17"/>
      <c r="AH648" s="20"/>
      <c r="AI648" s="20"/>
      <c r="AJ648" s="36"/>
      <c r="AM648" s="22"/>
      <c r="AO648" s="34"/>
    </row>
    <row r="649">
      <c r="D649" s="16"/>
      <c r="F649" s="17"/>
      <c r="H649" s="16"/>
      <c r="J649" s="17"/>
      <c r="L649" s="16"/>
      <c r="N649" s="17"/>
      <c r="P649" s="16"/>
      <c r="R649" s="17"/>
      <c r="T649" s="16"/>
      <c r="V649" s="17"/>
      <c r="AH649" s="20"/>
      <c r="AI649" s="20"/>
      <c r="AJ649" s="36"/>
      <c r="AM649" s="22"/>
      <c r="AO649" s="34"/>
    </row>
    <row r="650">
      <c r="D650" s="16"/>
      <c r="F650" s="17"/>
      <c r="H650" s="16"/>
      <c r="J650" s="17"/>
      <c r="L650" s="16"/>
      <c r="N650" s="17"/>
      <c r="P650" s="16"/>
      <c r="R650" s="17"/>
      <c r="T650" s="16"/>
      <c r="V650" s="17"/>
      <c r="AH650" s="20"/>
      <c r="AI650" s="20"/>
      <c r="AJ650" s="36"/>
      <c r="AM650" s="22"/>
      <c r="AO650" s="34"/>
    </row>
    <row r="651">
      <c r="D651" s="16"/>
      <c r="F651" s="17"/>
      <c r="H651" s="16"/>
      <c r="J651" s="17"/>
      <c r="L651" s="16"/>
      <c r="N651" s="17"/>
      <c r="P651" s="16"/>
      <c r="R651" s="17"/>
      <c r="T651" s="16"/>
      <c r="V651" s="17"/>
      <c r="AH651" s="20"/>
      <c r="AI651" s="20"/>
      <c r="AJ651" s="36"/>
      <c r="AM651" s="22"/>
      <c r="AO651" s="34"/>
    </row>
    <row r="652">
      <c r="D652" s="16"/>
      <c r="F652" s="17"/>
      <c r="H652" s="16"/>
      <c r="J652" s="17"/>
      <c r="L652" s="16"/>
      <c r="N652" s="17"/>
      <c r="P652" s="16"/>
      <c r="R652" s="17"/>
      <c r="T652" s="16"/>
      <c r="V652" s="17"/>
      <c r="AH652" s="20"/>
      <c r="AI652" s="20"/>
      <c r="AJ652" s="36"/>
      <c r="AM652" s="22"/>
      <c r="AO652" s="34"/>
    </row>
    <row r="653">
      <c r="D653" s="16"/>
      <c r="F653" s="17"/>
      <c r="H653" s="16"/>
      <c r="J653" s="17"/>
      <c r="L653" s="16"/>
      <c r="N653" s="17"/>
      <c r="P653" s="16"/>
      <c r="R653" s="17"/>
      <c r="T653" s="16"/>
      <c r="V653" s="17"/>
      <c r="AH653" s="20"/>
      <c r="AI653" s="20"/>
      <c r="AJ653" s="36"/>
      <c r="AM653" s="22"/>
      <c r="AO653" s="34"/>
    </row>
    <row r="654">
      <c r="D654" s="16"/>
      <c r="F654" s="17"/>
      <c r="H654" s="16"/>
      <c r="J654" s="17"/>
      <c r="L654" s="16"/>
      <c r="N654" s="17"/>
      <c r="P654" s="16"/>
      <c r="R654" s="17"/>
      <c r="T654" s="16"/>
      <c r="V654" s="17"/>
      <c r="AH654" s="20"/>
      <c r="AI654" s="20"/>
      <c r="AJ654" s="36"/>
      <c r="AM654" s="22"/>
      <c r="AO654" s="34"/>
    </row>
    <row r="655">
      <c r="D655" s="16"/>
      <c r="F655" s="17"/>
      <c r="H655" s="16"/>
      <c r="J655" s="17"/>
      <c r="L655" s="16"/>
      <c r="N655" s="17"/>
      <c r="P655" s="16"/>
      <c r="R655" s="17"/>
      <c r="T655" s="16"/>
      <c r="V655" s="17"/>
      <c r="AH655" s="20"/>
      <c r="AI655" s="20"/>
      <c r="AJ655" s="36"/>
      <c r="AM655" s="22"/>
      <c r="AO655" s="34"/>
    </row>
    <row r="656">
      <c r="D656" s="16"/>
      <c r="F656" s="17"/>
      <c r="H656" s="16"/>
      <c r="J656" s="17"/>
      <c r="L656" s="16"/>
      <c r="N656" s="17"/>
      <c r="P656" s="16"/>
      <c r="R656" s="17"/>
      <c r="T656" s="16"/>
      <c r="V656" s="17"/>
      <c r="AH656" s="20"/>
      <c r="AI656" s="20"/>
      <c r="AJ656" s="36"/>
      <c r="AM656" s="22"/>
      <c r="AO656" s="34"/>
    </row>
    <row r="657">
      <c r="D657" s="16"/>
      <c r="F657" s="17"/>
      <c r="H657" s="16"/>
      <c r="J657" s="17"/>
      <c r="L657" s="16"/>
      <c r="N657" s="17"/>
      <c r="P657" s="16"/>
      <c r="R657" s="17"/>
      <c r="T657" s="16"/>
      <c r="V657" s="17"/>
      <c r="AH657" s="20"/>
      <c r="AI657" s="20"/>
      <c r="AJ657" s="36"/>
      <c r="AM657" s="22"/>
      <c r="AO657" s="34"/>
    </row>
    <row r="658">
      <c r="D658" s="16"/>
      <c r="F658" s="17"/>
      <c r="H658" s="16"/>
      <c r="J658" s="17"/>
      <c r="L658" s="16"/>
      <c r="N658" s="17"/>
      <c r="P658" s="16"/>
      <c r="R658" s="17"/>
      <c r="T658" s="16"/>
      <c r="V658" s="17"/>
      <c r="AH658" s="20"/>
      <c r="AI658" s="20"/>
      <c r="AJ658" s="36"/>
      <c r="AM658" s="22"/>
      <c r="AO658" s="34"/>
    </row>
    <row r="659">
      <c r="D659" s="16"/>
      <c r="F659" s="17"/>
      <c r="H659" s="16"/>
      <c r="J659" s="17"/>
      <c r="L659" s="16"/>
      <c r="N659" s="17"/>
      <c r="P659" s="16"/>
      <c r="R659" s="17"/>
      <c r="T659" s="16"/>
      <c r="V659" s="17"/>
      <c r="AH659" s="20"/>
      <c r="AI659" s="20"/>
      <c r="AJ659" s="36"/>
      <c r="AM659" s="22"/>
      <c r="AO659" s="34"/>
    </row>
    <row r="660">
      <c r="D660" s="16"/>
      <c r="F660" s="17"/>
      <c r="H660" s="16"/>
      <c r="J660" s="17"/>
      <c r="L660" s="16"/>
      <c r="N660" s="17"/>
      <c r="P660" s="16"/>
      <c r="R660" s="17"/>
      <c r="T660" s="16"/>
      <c r="V660" s="17"/>
      <c r="AH660" s="20"/>
      <c r="AI660" s="20"/>
      <c r="AJ660" s="36"/>
      <c r="AM660" s="22"/>
      <c r="AO660" s="34"/>
    </row>
    <row r="661">
      <c r="D661" s="16"/>
      <c r="F661" s="17"/>
      <c r="H661" s="16"/>
      <c r="J661" s="17"/>
      <c r="L661" s="16"/>
      <c r="N661" s="17"/>
      <c r="P661" s="16"/>
      <c r="R661" s="17"/>
      <c r="T661" s="16"/>
      <c r="V661" s="17"/>
      <c r="AH661" s="20"/>
      <c r="AI661" s="20"/>
      <c r="AJ661" s="36"/>
      <c r="AM661" s="22"/>
      <c r="AO661" s="34"/>
    </row>
    <row r="662">
      <c r="D662" s="16"/>
      <c r="F662" s="17"/>
      <c r="H662" s="16"/>
      <c r="J662" s="17"/>
      <c r="L662" s="16"/>
      <c r="N662" s="17"/>
      <c r="P662" s="16"/>
      <c r="R662" s="17"/>
      <c r="T662" s="16"/>
      <c r="V662" s="17"/>
      <c r="AH662" s="20"/>
      <c r="AI662" s="20"/>
      <c r="AJ662" s="36"/>
      <c r="AM662" s="22"/>
      <c r="AO662" s="34"/>
    </row>
    <row r="663">
      <c r="D663" s="16"/>
      <c r="F663" s="17"/>
      <c r="H663" s="16"/>
      <c r="J663" s="17"/>
      <c r="L663" s="16"/>
      <c r="N663" s="17"/>
      <c r="P663" s="16"/>
      <c r="R663" s="17"/>
      <c r="T663" s="16"/>
      <c r="V663" s="17"/>
      <c r="AH663" s="20"/>
      <c r="AI663" s="20"/>
      <c r="AJ663" s="36"/>
      <c r="AM663" s="22"/>
      <c r="AO663" s="34"/>
    </row>
    <row r="664">
      <c r="D664" s="16"/>
      <c r="F664" s="17"/>
      <c r="H664" s="16"/>
      <c r="J664" s="17"/>
      <c r="L664" s="16"/>
      <c r="N664" s="17"/>
      <c r="P664" s="16"/>
      <c r="R664" s="17"/>
      <c r="T664" s="16"/>
      <c r="V664" s="17"/>
      <c r="AH664" s="20"/>
      <c r="AI664" s="20"/>
      <c r="AJ664" s="36"/>
      <c r="AM664" s="22"/>
      <c r="AO664" s="34"/>
    </row>
    <row r="665">
      <c r="D665" s="16"/>
      <c r="F665" s="17"/>
      <c r="H665" s="16"/>
      <c r="J665" s="17"/>
      <c r="L665" s="16"/>
      <c r="N665" s="17"/>
      <c r="P665" s="16"/>
      <c r="R665" s="17"/>
      <c r="T665" s="16"/>
      <c r="V665" s="17"/>
      <c r="AH665" s="20"/>
      <c r="AI665" s="20"/>
      <c r="AJ665" s="36"/>
      <c r="AM665" s="22"/>
      <c r="AO665" s="34"/>
    </row>
    <row r="666">
      <c r="D666" s="16"/>
      <c r="F666" s="17"/>
      <c r="H666" s="16"/>
      <c r="J666" s="17"/>
      <c r="L666" s="16"/>
      <c r="N666" s="17"/>
      <c r="P666" s="16"/>
      <c r="R666" s="17"/>
      <c r="T666" s="16"/>
      <c r="V666" s="17"/>
      <c r="AH666" s="20"/>
      <c r="AI666" s="20"/>
      <c r="AJ666" s="36"/>
      <c r="AM666" s="22"/>
      <c r="AO666" s="34"/>
    </row>
    <row r="667">
      <c r="D667" s="16"/>
      <c r="F667" s="17"/>
      <c r="H667" s="16"/>
      <c r="J667" s="17"/>
      <c r="L667" s="16"/>
      <c r="N667" s="17"/>
      <c r="P667" s="16"/>
      <c r="R667" s="17"/>
      <c r="T667" s="16"/>
      <c r="V667" s="17"/>
      <c r="AH667" s="20"/>
      <c r="AI667" s="20"/>
      <c r="AJ667" s="36"/>
      <c r="AM667" s="22"/>
      <c r="AO667" s="34"/>
    </row>
    <row r="668">
      <c r="D668" s="16"/>
      <c r="F668" s="17"/>
      <c r="H668" s="16"/>
      <c r="J668" s="17"/>
      <c r="L668" s="16"/>
      <c r="N668" s="17"/>
      <c r="P668" s="16"/>
      <c r="R668" s="17"/>
      <c r="T668" s="16"/>
      <c r="V668" s="17"/>
      <c r="AH668" s="20"/>
      <c r="AI668" s="20"/>
      <c r="AJ668" s="36"/>
      <c r="AM668" s="22"/>
      <c r="AO668" s="34"/>
    </row>
    <row r="669">
      <c r="D669" s="16"/>
      <c r="F669" s="17"/>
      <c r="H669" s="16"/>
      <c r="J669" s="17"/>
      <c r="L669" s="16"/>
      <c r="N669" s="17"/>
      <c r="P669" s="16"/>
      <c r="R669" s="17"/>
      <c r="T669" s="16"/>
      <c r="V669" s="17"/>
      <c r="AH669" s="20"/>
      <c r="AI669" s="20"/>
      <c r="AJ669" s="36"/>
      <c r="AM669" s="22"/>
      <c r="AO669" s="34"/>
    </row>
    <row r="670">
      <c r="D670" s="16"/>
      <c r="F670" s="17"/>
      <c r="H670" s="16"/>
      <c r="J670" s="17"/>
      <c r="L670" s="16"/>
      <c r="N670" s="17"/>
      <c r="P670" s="16"/>
      <c r="R670" s="17"/>
      <c r="T670" s="16"/>
      <c r="V670" s="17"/>
      <c r="AH670" s="20"/>
      <c r="AI670" s="20"/>
      <c r="AJ670" s="36"/>
      <c r="AM670" s="22"/>
      <c r="AO670" s="34"/>
    </row>
    <row r="671">
      <c r="D671" s="16"/>
      <c r="F671" s="17"/>
      <c r="H671" s="16"/>
      <c r="J671" s="17"/>
      <c r="L671" s="16"/>
      <c r="N671" s="17"/>
      <c r="P671" s="16"/>
      <c r="R671" s="17"/>
      <c r="T671" s="16"/>
      <c r="V671" s="17"/>
      <c r="AH671" s="20"/>
      <c r="AI671" s="20"/>
      <c r="AJ671" s="36"/>
      <c r="AM671" s="22"/>
      <c r="AO671" s="34"/>
    </row>
    <row r="672">
      <c r="D672" s="16"/>
      <c r="F672" s="17"/>
      <c r="H672" s="16"/>
      <c r="J672" s="17"/>
      <c r="L672" s="16"/>
      <c r="N672" s="17"/>
      <c r="P672" s="16"/>
      <c r="R672" s="17"/>
      <c r="T672" s="16"/>
      <c r="V672" s="17"/>
      <c r="AH672" s="20"/>
      <c r="AI672" s="20"/>
      <c r="AJ672" s="36"/>
      <c r="AM672" s="22"/>
      <c r="AO672" s="34"/>
    </row>
    <row r="673">
      <c r="D673" s="16"/>
      <c r="F673" s="17"/>
      <c r="H673" s="16"/>
      <c r="J673" s="17"/>
      <c r="L673" s="16"/>
      <c r="N673" s="17"/>
      <c r="P673" s="16"/>
      <c r="R673" s="17"/>
      <c r="T673" s="16"/>
      <c r="V673" s="17"/>
      <c r="AH673" s="20"/>
      <c r="AI673" s="20"/>
      <c r="AJ673" s="36"/>
      <c r="AM673" s="22"/>
      <c r="AO673" s="34"/>
    </row>
    <row r="674">
      <c r="D674" s="16"/>
      <c r="F674" s="17"/>
      <c r="H674" s="16"/>
      <c r="J674" s="17"/>
      <c r="L674" s="16"/>
      <c r="N674" s="17"/>
      <c r="P674" s="16"/>
      <c r="R674" s="17"/>
      <c r="T674" s="16"/>
      <c r="V674" s="17"/>
      <c r="AH674" s="20"/>
      <c r="AI674" s="20"/>
      <c r="AJ674" s="36"/>
      <c r="AM674" s="22"/>
      <c r="AO674" s="34"/>
    </row>
    <row r="675">
      <c r="D675" s="16"/>
      <c r="F675" s="17"/>
      <c r="H675" s="16"/>
      <c r="J675" s="17"/>
      <c r="L675" s="16"/>
      <c r="N675" s="17"/>
      <c r="P675" s="16"/>
      <c r="R675" s="17"/>
      <c r="T675" s="16"/>
      <c r="V675" s="17"/>
      <c r="AH675" s="20"/>
      <c r="AI675" s="20"/>
      <c r="AJ675" s="36"/>
      <c r="AM675" s="22"/>
      <c r="AO675" s="34"/>
    </row>
    <row r="676">
      <c r="D676" s="16"/>
      <c r="F676" s="17"/>
      <c r="H676" s="16"/>
      <c r="J676" s="17"/>
      <c r="L676" s="16"/>
      <c r="N676" s="17"/>
      <c r="P676" s="16"/>
      <c r="R676" s="17"/>
      <c r="T676" s="16"/>
      <c r="V676" s="17"/>
      <c r="AH676" s="20"/>
      <c r="AI676" s="20"/>
      <c r="AJ676" s="36"/>
      <c r="AM676" s="22"/>
      <c r="AO676" s="34"/>
    </row>
    <row r="677">
      <c r="D677" s="16"/>
      <c r="F677" s="17"/>
      <c r="H677" s="16"/>
      <c r="J677" s="17"/>
      <c r="L677" s="16"/>
      <c r="N677" s="17"/>
      <c r="P677" s="16"/>
      <c r="R677" s="17"/>
      <c r="T677" s="16"/>
      <c r="V677" s="17"/>
      <c r="AH677" s="20"/>
      <c r="AI677" s="20"/>
      <c r="AJ677" s="36"/>
      <c r="AM677" s="22"/>
      <c r="AO677" s="34"/>
    </row>
    <row r="678">
      <c r="D678" s="16"/>
      <c r="F678" s="17"/>
      <c r="H678" s="16"/>
      <c r="J678" s="17"/>
      <c r="L678" s="16"/>
      <c r="N678" s="17"/>
      <c r="P678" s="16"/>
      <c r="R678" s="17"/>
      <c r="T678" s="16"/>
      <c r="V678" s="17"/>
      <c r="AH678" s="20"/>
      <c r="AI678" s="20"/>
      <c r="AJ678" s="36"/>
      <c r="AM678" s="22"/>
      <c r="AO678" s="34"/>
    </row>
    <row r="679">
      <c r="D679" s="16"/>
      <c r="F679" s="17"/>
      <c r="H679" s="16"/>
      <c r="J679" s="17"/>
      <c r="L679" s="16"/>
      <c r="N679" s="17"/>
      <c r="P679" s="16"/>
      <c r="R679" s="17"/>
      <c r="T679" s="16"/>
      <c r="V679" s="17"/>
      <c r="AH679" s="20"/>
      <c r="AI679" s="20"/>
      <c r="AJ679" s="36"/>
      <c r="AM679" s="22"/>
      <c r="AO679" s="34"/>
    </row>
    <row r="680">
      <c r="D680" s="16"/>
      <c r="F680" s="17"/>
      <c r="H680" s="16"/>
      <c r="J680" s="17"/>
      <c r="L680" s="16"/>
      <c r="N680" s="17"/>
      <c r="P680" s="16"/>
      <c r="R680" s="17"/>
      <c r="T680" s="16"/>
      <c r="V680" s="17"/>
      <c r="AH680" s="20"/>
      <c r="AI680" s="20"/>
      <c r="AJ680" s="36"/>
      <c r="AM680" s="22"/>
      <c r="AO680" s="34"/>
    </row>
    <row r="681">
      <c r="D681" s="16"/>
      <c r="F681" s="17"/>
      <c r="H681" s="16"/>
      <c r="J681" s="17"/>
      <c r="L681" s="16"/>
      <c r="N681" s="17"/>
      <c r="P681" s="16"/>
      <c r="R681" s="17"/>
      <c r="T681" s="16"/>
      <c r="V681" s="17"/>
      <c r="AH681" s="20"/>
      <c r="AI681" s="20"/>
      <c r="AJ681" s="36"/>
      <c r="AM681" s="22"/>
      <c r="AO681" s="34"/>
    </row>
    <row r="682">
      <c r="D682" s="16"/>
      <c r="F682" s="17"/>
      <c r="H682" s="16"/>
      <c r="J682" s="17"/>
      <c r="L682" s="16"/>
      <c r="N682" s="17"/>
      <c r="P682" s="16"/>
      <c r="R682" s="17"/>
      <c r="T682" s="16"/>
      <c r="V682" s="17"/>
      <c r="AH682" s="20"/>
      <c r="AI682" s="20"/>
      <c r="AJ682" s="36"/>
      <c r="AM682" s="22"/>
      <c r="AO682" s="34"/>
    </row>
    <row r="683">
      <c r="D683" s="16"/>
      <c r="F683" s="17"/>
      <c r="H683" s="16"/>
      <c r="J683" s="17"/>
      <c r="L683" s="16"/>
      <c r="N683" s="17"/>
      <c r="P683" s="16"/>
      <c r="R683" s="17"/>
      <c r="T683" s="16"/>
      <c r="V683" s="17"/>
      <c r="AH683" s="20"/>
      <c r="AI683" s="20"/>
      <c r="AJ683" s="36"/>
      <c r="AM683" s="22"/>
      <c r="AO683" s="34"/>
    </row>
    <row r="684">
      <c r="D684" s="16"/>
      <c r="F684" s="17"/>
      <c r="H684" s="16"/>
      <c r="J684" s="17"/>
      <c r="L684" s="16"/>
      <c r="N684" s="17"/>
      <c r="P684" s="16"/>
      <c r="R684" s="17"/>
      <c r="T684" s="16"/>
      <c r="V684" s="17"/>
      <c r="AH684" s="20"/>
      <c r="AI684" s="20"/>
      <c r="AJ684" s="36"/>
      <c r="AM684" s="22"/>
      <c r="AO684" s="34"/>
    </row>
    <row r="685">
      <c r="D685" s="16"/>
      <c r="F685" s="17"/>
      <c r="H685" s="16"/>
      <c r="J685" s="17"/>
      <c r="L685" s="16"/>
      <c r="N685" s="17"/>
      <c r="P685" s="16"/>
      <c r="R685" s="17"/>
      <c r="T685" s="16"/>
      <c r="V685" s="17"/>
      <c r="AH685" s="20"/>
      <c r="AI685" s="20"/>
      <c r="AJ685" s="36"/>
      <c r="AM685" s="22"/>
      <c r="AO685" s="34"/>
    </row>
    <row r="686">
      <c r="D686" s="16"/>
      <c r="F686" s="17"/>
      <c r="H686" s="16"/>
      <c r="J686" s="17"/>
      <c r="L686" s="16"/>
      <c r="N686" s="17"/>
      <c r="P686" s="16"/>
      <c r="R686" s="17"/>
      <c r="T686" s="16"/>
      <c r="V686" s="17"/>
      <c r="AH686" s="20"/>
      <c r="AI686" s="20"/>
      <c r="AJ686" s="36"/>
      <c r="AM686" s="22"/>
      <c r="AO686" s="34"/>
    </row>
    <row r="687">
      <c r="D687" s="16"/>
      <c r="F687" s="17"/>
      <c r="H687" s="16"/>
      <c r="J687" s="17"/>
      <c r="L687" s="16"/>
      <c r="N687" s="17"/>
      <c r="P687" s="16"/>
      <c r="R687" s="17"/>
      <c r="T687" s="16"/>
      <c r="V687" s="17"/>
      <c r="AH687" s="20"/>
      <c r="AI687" s="20"/>
      <c r="AJ687" s="36"/>
      <c r="AM687" s="22"/>
      <c r="AO687" s="34"/>
    </row>
    <row r="688">
      <c r="D688" s="16"/>
      <c r="F688" s="17"/>
      <c r="H688" s="16"/>
      <c r="J688" s="17"/>
      <c r="L688" s="16"/>
      <c r="N688" s="17"/>
      <c r="P688" s="16"/>
      <c r="R688" s="17"/>
      <c r="T688" s="16"/>
      <c r="V688" s="17"/>
      <c r="AH688" s="20"/>
      <c r="AI688" s="20"/>
      <c r="AJ688" s="36"/>
      <c r="AM688" s="22"/>
      <c r="AO688" s="34"/>
    </row>
    <row r="689">
      <c r="D689" s="16"/>
      <c r="F689" s="17"/>
      <c r="H689" s="16"/>
      <c r="J689" s="17"/>
      <c r="L689" s="16"/>
      <c r="N689" s="17"/>
      <c r="P689" s="16"/>
      <c r="R689" s="17"/>
      <c r="T689" s="16"/>
      <c r="V689" s="17"/>
      <c r="AH689" s="20"/>
      <c r="AI689" s="20"/>
      <c r="AJ689" s="36"/>
      <c r="AM689" s="22"/>
      <c r="AO689" s="34"/>
    </row>
    <row r="690">
      <c r="D690" s="16"/>
      <c r="F690" s="17"/>
      <c r="H690" s="16"/>
      <c r="J690" s="17"/>
      <c r="L690" s="16"/>
      <c r="N690" s="17"/>
      <c r="P690" s="16"/>
      <c r="R690" s="17"/>
      <c r="T690" s="16"/>
      <c r="V690" s="17"/>
      <c r="AH690" s="20"/>
      <c r="AI690" s="20"/>
      <c r="AJ690" s="36"/>
      <c r="AM690" s="22"/>
      <c r="AO690" s="34"/>
    </row>
    <row r="691">
      <c r="D691" s="16"/>
      <c r="F691" s="17"/>
      <c r="H691" s="16"/>
      <c r="J691" s="17"/>
      <c r="L691" s="16"/>
      <c r="N691" s="17"/>
      <c r="P691" s="16"/>
      <c r="R691" s="17"/>
      <c r="T691" s="16"/>
      <c r="V691" s="17"/>
      <c r="AH691" s="20"/>
      <c r="AI691" s="20"/>
      <c r="AJ691" s="36"/>
      <c r="AM691" s="22"/>
      <c r="AO691" s="34"/>
    </row>
    <row r="692">
      <c r="D692" s="16"/>
      <c r="F692" s="17"/>
      <c r="H692" s="16"/>
      <c r="J692" s="17"/>
      <c r="L692" s="16"/>
      <c r="N692" s="17"/>
      <c r="P692" s="16"/>
      <c r="R692" s="17"/>
      <c r="T692" s="16"/>
      <c r="V692" s="17"/>
      <c r="AH692" s="20"/>
      <c r="AI692" s="20"/>
      <c r="AJ692" s="36"/>
      <c r="AM692" s="22"/>
      <c r="AO692" s="34"/>
    </row>
    <row r="693">
      <c r="D693" s="16"/>
      <c r="F693" s="17"/>
      <c r="H693" s="16"/>
      <c r="J693" s="17"/>
      <c r="L693" s="16"/>
      <c r="N693" s="17"/>
      <c r="P693" s="16"/>
      <c r="R693" s="17"/>
      <c r="T693" s="16"/>
      <c r="V693" s="17"/>
      <c r="AH693" s="20"/>
      <c r="AI693" s="20"/>
      <c r="AJ693" s="36"/>
      <c r="AM693" s="22"/>
      <c r="AO693" s="34"/>
    </row>
    <row r="694">
      <c r="D694" s="16"/>
      <c r="F694" s="17"/>
      <c r="H694" s="16"/>
      <c r="J694" s="17"/>
      <c r="L694" s="16"/>
      <c r="N694" s="17"/>
      <c r="P694" s="16"/>
      <c r="R694" s="17"/>
      <c r="T694" s="16"/>
      <c r="V694" s="17"/>
      <c r="AH694" s="20"/>
      <c r="AI694" s="20"/>
      <c r="AJ694" s="36"/>
      <c r="AM694" s="22"/>
      <c r="AO694" s="34"/>
    </row>
    <row r="695">
      <c r="D695" s="16"/>
      <c r="F695" s="17"/>
      <c r="H695" s="16"/>
      <c r="J695" s="17"/>
      <c r="L695" s="16"/>
      <c r="N695" s="17"/>
      <c r="P695" s="16"/>
      <c r="R695" s="17"/>
      <c r="T695" s="16"/>
      <c r="V695" s="17"/>
      <c r="AH695" s="20"/>
      <c r="AI695" s="20"/>
      <c r="AJ695" s="36"/>
      <c r="AM695" s="22"/>
      <c r="AO695" s="34"/>
    </row>
    <row r="696">
      <c r="D696" s="16"/>
      <c r="F696" s="17"/>
      <c r="H696" s="16"/>
      <c r="J696" s="17"/>
      <c r="L696" s="16"/>
      <c r="N696" s="17"/>
      <c r="P696" s="16"/>
      <c r="R696" s="17"/>
      <c r="T696" s="16"/>
      <c r="V696" s="17"/>
      <c r="AH696" s="20"/>
      <c r="AI696" s="20"/>
      <c r="AJ696" s="36"/>
      <c r="AM696" s="22"/>
      <c r="AO696" s="34"/>
    </row>
    <row r="697">
      <c r="D697" s="16"/>
      <c r="F697" s="17"/>
      <c r="H697" s="16"/>
      <c r="J697" s="17"/>
      <c r="L697" s="16"/>
      <c r="N697" s="17"/>
      <c r="P697" s="16"/>
      <c r="R697" s="17"/>
      <c r="T697" s="16"/>
      <c r="V697" s="17"/>
      <c r="AH697" s="20"/>
      <c r="AI697" s="20"/>
      <c r="AJ697" s="36"/>
      <c r="AM697" s="22"/>
      <c r="AO697" s="34"/>
    </row>
    <row r="698">
      <c r="D698" s="16"/>
      <c r="F698" s="17"/>
      <c r="H698" s="16"/>
      <c r="J698" s="17"/>
      <c r="L698" s="16"/>
      <c r="N698" s="17"/>
      <c r="P698" s="16"/>
      <c r="R698" s="17"/>
      <c r="T698" s="16"/>
      <c r="V698" s="17"/>
      <c r="AH698" s="20"/>
      <c r="AI698" s="20"/>
      <c r="AJ698" s="36"/>
      <c r="AM698" s="22"/>
      <c r="AO698" s="34"/>
    </row>
    <row r="699">
      <c r="D699" s="16"/>
      <c r="F699" s="17"/>
      <c r="H699" s="16"/>
      <c r="J699" s="17"/>
      <c r="L699" s="16"/>
      <c r="N699" s="17"/>
      <c r="P699" s="16"/>
      <c r="R699" s="17"/>
      <c r="T699" s="16"/>
      <c r="V699" s="17"/>
      <c r="AH699" s="20"/>
      <c r="AI699" s="20"/>
      <c r="AJ699" s="36"/>
      <c r="AM699" s="22"/>
      <c r="AO699" s="34"/>
    </row>
    <row r="700">
      <c r="D700" s="16"/>
      <c r="F700" s="17"/>
      <c r="H700" s="16"/>
      <c r="J700" s="17"/>
      <c r="L700" s="16"/>
      <c r="N700" s="17"/>
      <c r="P700" s="16"/>
      <c r="R700" s="17"/>
      <c r="T700" s="16"/>
      <c r="V700" s="17"/>
      <c r="AH700" s="20"/>
      <c r="AI700" s="20"/>
      <c r="AJ700" s="36"/>
      <c r="AM700" s="22"/>
      <c r="AO700" s="34"/>
    </row>
    <row r="701">
      <c r="D701" s="16"/>
      <c r="F701" s="17"/>
      <c r="H701" s="16"/>
      <c r="J701" s="17"/>
      <c r="L701" s="16"/>
      <c r="N701" s="17"/>
      <c r="P701" s="16"/>
      <c r="R701" s="17"/>
      <c r="T701" s="16"/>
      <c r="V701" s="17"/>
      <c r="AH701" s="20"/>
      <c r="AI701" s="20"/>
      <c r="AJ701" s="36"/>
      <c r="AM701" s="22"/>
      <c r="AO701" s="34"/>
    </row>
    <row r="702">
      <c r="D702" s="16"/>
      <c r="F702" s="17"/>
      <c r="H702" s="16"/>
      <c r="J702" s="17"/>
      <c r="L702" s="16"/>
      <c r="N702" s="17"/>
      <c r="P702" s="16"/>
      <c r="R702" s="17"/>
      <c r="T702" s="16"/>
      <c r="V702" s="17"/>
      <c r="AH702" s="20"/>
      <c r="AI702" s="20"/>
      <c r="AJ702" s="36"/>
      <c r="AM702" s="22"/>
      <c r="AO702" s="34"/>
    </row>
    <row r="703">
      <c r="D703" s="16"/>
      <c r="F703" s="17"/>
      <c r="H703" s="16"/>
      <c r="J703" s="17"/>
      <c r="L703" s="16"/>
      <c r="N703" s="17"/>
      <c r="P703" s="16"/>
      <c r="R703" s="17"/>
      <c r="T703" s="16"/>
      <c r="V703" s="17"/>
      <c r="AH703" s="20"/>
      <c r="AI703" s="20"/>
      <c r="AJ703" s="36"/>
      <c r="AM703" s="22"/>
      <c r="AO703" s="34"/>
    </row>
    <row r="704">
      <c r="D704" s="16"/>
      <c r="F704" s="17"/>
      <c r="H704" s="16"/>
      <c r="J704" s="17"/>
      <c r="L704" s="16"/>
      <c r="N704" s="17"/>
      <c r="P704" s="16"/>
      <c r="R704" s="17"/>
      <c r="T704" s="16"/>
      <c r="V704" s="17"/>
      <c r="AH704" s="20"/>
      <c r="AI704" s="20"/>
      <c r="AJ704" s="36"/>
      <c r="AM704" s="22"/>
      <c r="AO704" s="34"/>
    </row>
    <row r="705">
      <c r="D705" s="16"/>
      <c r="F705" s="17"/>
      <c r="H705" s="16"/>
      <c r="J705" s="17"/>
      <c r="L705" s="16"/>
      <c r="N705" s="17"/>
      <c r="P705" s="16"/>
      <c r="R705" s="17"/>
      <c r="T705" s="16"/>
      <c r="V705" s="17"/>
      <c r="AH705" s="20"/>
      <c r="AI705" s="20"/>
      <c r="AJ705" s="36"/>
      <c r="AM705" s="22"/>
      <c r="AO705" s="34"/>
    </row>
    <row r="706">
      <c r="D706" s="16"/>
      <c r="F706" s="17"/>
      <c r="H706" s="16"/>
      <c r="J706" s="17"/>
      <c r="L706" s="16"/>
      <c r="N706" s="17"/>
      <c r="P706" s="16"/>
      <c r="R706" s="17"/>
      <c r="T706" s="16"/>
      <c r="V706" s="17"/>
      <c r="AH706" s="20"/>
      <c r="AI706" s="20"/>
      <c r="AJ706" s="36"/>
      <c r="AM706" s="22"/>
      <c r="AO706" s="34"/>
    </row>
    <row r="707">
      <c r="D707" s="16"/>
      <c r="F707" s="17"/>
      <c r="H707" s="16"/>
      <c r="J707" s="17"/>
      <c r="L707" s="16"/>
      <c r="N707" s="17"/>
      <c r="P707" s="16"/>
      <c r="R707" s="17"/>
      <c r="T707" s="16"/>
      <c r="V707" s="17"/>
      <c r="AH707" s="20"/>
      <c r="AI707" s="20"/>
      <c r="AJ707" s="36"/>
      <c r="AM707" s="22"/>
      <c r="AO707" s="34"/>
    </row>
    <row r="708">
      <c r="D708" s="16"/>
      <c r="F708" s="17"/>
      <c r="H708" s="16"/>
      <c r="J708" s="17"/>
      <c r="L708" s="16"/>
      <c r="N708" s="17"/>
      <c r="P708" s="16"/>
      <c r="R708" s="17"/>
      <c r="T708" s="16"/>
      <c r="V708" s="17"/>
      <c r="AH708" s="20"/>
      <c r="AI708" s="20"/>
      <c r="AJ708" s="36"/>
      <c r="AM708" s="22"/>
      <c r="AO708" s="34"/>
    </row>
    <row r="709">
      <c r="D709" s="16"/>
      <c r="F709" s="17"/>
      <c r="H709" s="16"/>
      <c r="J709" s="17"/>
      <c r="L709" s="16"/>
      <c r="N709" s="17"/>
      <c r="P709" s="16"/>
      <c r="R709" s="17"/>
      <c r="T709" s="16"/>
      <c r="V709" s="17"/>
      <c r="AH709" s="20"/>
      <c r="AI709" s="20"/>
      <c r="AJ709" s="36"/>
      <c r="AM709" s="22"/>
      <c r="AO709" s="34"/>
    </row>
    <row r="710">
      <c r="D710" s="16"/>
      <c r="F710" s="17"/>
      <c r="H710" s="16"/>
      <c r="J710" s="17"/>
      <c r="L710" s="16"/>
      <c r="N710" s="17"/>
      <c r="P710" s="16"/>
      <c r="R710" s="17"/>
      <c r="T710" s="16"/>
      <c r="V710" s="17"/>
      <c r="AH710" s="20"/>
      <c r="AI710" s="20"/>
      <c r="AJ710" s="36"/>
      <c r="AM710" s="22"/>
      <c r="AO710" s="34"/>
    </row>
    <row r="711">
      <c r="D711" s="16"/>
      <c r="F711" s="17"/>
      <c r="H711" s="16"/>
      <c r="J711" s="17"/>
      <c r="L711" s="16"/>
      <c r="N711" s="17"/>
      <c r="P711" s="16"/>
      <c r="R711" s="17"/>
      <c r="T711" s="16"/>
      <c r="V711" s="17"/>
      <c r="AH711" s="20"/>
      <c r="AI711" s="20"/>
      <c r="AJ711" s="36"/>
      <c r="AM711" s="22"/>
      <c r="AO711" s="34"/>
    </row>
    <row r="712">
      <c r="D712" s="16"/>
      <c r="F712" s="17"/>
      <c r="H712" s="16"/>
      <c r="J712" s="17"/>
      <c r="L712" s="16"/>
      <c r="N712" s="17"/>
      <c r="P712" s="16"/>
      <c r="R712" s="17"/>
      <c r="T712" s="16"/>
      <c r="V712" s="17"/>
      <c r="AH712" s="20"/>
      <c r="AI712" s="20"/>
      <c r="AJ712" s="36"/>
      <c r="AM712" s="22"/>
      <c r="AO712" s="34"/>
    </row>
    <row r="713">
      <c r="D713" s="16"/>
      <c r="F713" s="17"/>
      <c r="H713" s="16"/>
      <c r="J713" s="17"/>
      <c r="L713" s="16"/>
      <c r="N713" s="17"/>
      <c r="P713" s="16"/>
      <c r="R713" s="17"/>
      <c r="T713" s="16"/>
      <c r="V713" s="17"/>
      <c r="AH713" s="20"/>
      <c r="AI713" s="20"/>
      <c r="AJ713" s="36"/>
      <c r="AM713" s="22"/>
      <c r="AO713" s="34"/>
    </row>
    <row r="714">
      <c r="D714" s="16"/>
      <c r="F714" s="17"/>
      <c r="H714" s="16"/>
      <c r="J714" s="17"/>
      <c r="L714" s="16"/>
      <c r="N714" s="17"/>
      <c r="P714" s="16"/>
      <c r="R714" s="17"/>
      <c r="T714" s="16"/>
      <c r="V714" s="17"/>
      <c r="AH714" s="20"/>
      <c r="AI714" s="20"/>
      <c r="AJ714" s="36"/>
      <c r="AM714" s="22"/>
      <c r="AO714" s="34"/>
    </row>
    <row r="715">
      <c r="D715" s="16"/>
      <c r="F715" s="17"/>
      <c r="H715" s="16"/>
      <c r="J715" s="17"/>
      <c r="L715" s="16"/>
      <c r="N715" s="17"/>
      <c r="P715" s="16"/>
      <c r="R715" s="17"/>
      <c r="T715" s="16"/>
      <c r="V715" s="17"/>
      <c r="AH715" s="20"/>
      <c r="AI715" s="20"/>
      <c r="AJ715" s="36"/>
      <c r="AM715" s="22"/>
      <c r="AO715" s="34"/>
    </row>
    <row r="716">
      <c r="D716" s="16"/>
      <c r="F716" s="17"/>
      <c r="H716" s="16"/>
      <c r="J716" s="17"/>
      <c r="L716" s="16"/>
      <c r="N716" s="17"/>
      <c r="P716" s="16"/>
      <c r="R716" s="17"/>
      <c r="T716" s="16"/>
      <c r="V716" s="17"/>
      <c r="AH716" s="20"/>
      <c r="AI716" s="20"/>
      <c r="AJ716" s="36"/>
      <c r="AM716" s="22"/>
      <c r="AO716" s="34"/>
    </row>
    <row r="717">
      <c r="D717" s="16"/>
      <c r="F717" s="17"/>
      <c r="H717" s="16"/>
      <c r="J717" s="17"/>
      <c r="L717" s="16"/>
      <c r="N717" s="17"/>
      <c r="P717" s="16"/>
      <c r="R717" s="17"/>
      <c r="T717" s="16"/>
      <c r="V717" s="17"/>
      <c r="AH717" s="20"/>
      <c r="AI717" s="20"/>
      <c r="AJ717" s="36"/>
      <c r="AM717" s="22"/>
      <c r="AO717" s="34"/>
    </row>
    <row r="718">
      <c r="D718" s="16"/>
      <c r="F718" s="17"/>
      <c r="H718" s="16"/>
      <c r="J718" s="17"/>
      <c r="L718" s="16"/>
      <c r="N718" s="17"/>
      <c r="P718" s="16"/>
      <c r="R718" s="17"/>
      <c r="T718" s="16"/>
      <c r="V718" s="17"/>
      <c r="AH718" s="20"/>
      <c r="AI718" s="20"/>
      <c r="AJ718" s="36"/>
      <c r="AM718" s="22"/>
      <c r="AO718" s="34"/>
    </row>
    <row r="719">
      <c r="D719" s="16"/>
      <c r="F719" s="17"/>
      <c r="H719" s="16"/>
      <c r="J719" s="17"/>
      <c r="L719" s="16"/>
      <c r="N719" s="17"/>
      <c r="P719" s="16"/>
      <c r="R719" s="17"/>
      <c r="T719" s="16"/>
      <c r="V719" s="17"/>
      <c r="AH719" s="20"/>
      <c r="AI719" s="20"/>
      <c r="AJ719" s="36"/>
      <c r="AM719" s="22"/>
      <c r="AO719" s="34"/>
    </row>
    <row r="720">
      <c r="D720" s="16"/>
      <c r="F720" s="17"/>
      <c r="H720" s="16"/>
      <c r="J720" s="17"/>
      <c r="L720" s="16"/>
      <c r="N720" s="17"/>
      <c r="P720" s="16"/>
      <c r="R720" s="17"/>
      <c r="T720" s="16"/>
      <c r="V720" s="17"/>
      <c r="AH720" s="20"/>
      <c r="AI720" s="20"/>
      <c r="AJ720" s="36"/>
      <c r="AM720" s="22"/>
      <c r="AO720" s="34"/>
    </row>
    <row r="721">
      <c r="D721" s="16"/>
      <c r="F721" s="17"/>
      <c r="H721" s="16"/>
      <c r="J721" s="17"/>
      <c r="L721" s="16"/>
      <c r="N721" s="17"/>
      <c r="P721" s="16"/>
      <c r="R721" s="17"/>
      <c r="T721" s="16"/>
      <c r="V721" s="17"/>
      <c r="AH721" s="20"/>
      <c r="AI721" s="20"/>
      <c r="AJ721" s="36"/>
      <c r="AM721" s="22"/>
      <c r="AO721" s="34"/>
    </row>
    <row r="722">
      <c r="D722" s="16"/>
      <c r="F722" s="17"/>
      <c r="H722" s="16"/>
      <c r="J722" s="17"/>
      <c r="L722" s="16"/>
      <c r="N722" s="17"/>
      <c r="P722" s="16"/>
      <c r="R722" s="17"/>
      <c r="T722" s="16"/>
      <c r="V722" s="17"/>
      <c r="AH722" s="20"/>
      <c r="AI722" s="20"/>
      <c r="AJ722" s="36"/>
      <c r="AM722" s="22"/>
      <c r="AO722" s="34"/>
    </row>
    <row r="723">
      <c r="D723" s="16"/>
      <c r="F723" s="17"/>
      <c r="H723" s="16"/>
      <c r="J723" s="17"/>
      <c r="L723" s="16"/>
      <c r="N723" s="17"/>
      <c r="P723" s="16"/>
      <c r="R723" s="17"/>
      <c r="T723" s="16"/>
      <c r="V723" s="17"/>
      <c r="AH723" s="20"/>
      <c r="AI723" s="20"/>
      <c r="AJ723" s="36"/>
      <c r="AM723" s="22"/>
      <c r="AO723" s="34"/>
    </row>
    <row r="724">
      <c r="D724" s="16"/>
      <c r="F724" s="17"/>
      <c r="H724" s="16"/>
      <c r="J724" s="17"/>
      <c r="L724" s="16"/>
      <c r="N724" s="17"/>
      <c r="P724" s="16"/>
      <c r="R724" s="17"/>
      <c r="T724" s="16"/>
      <c r="V724" s="17"/>
      <c r="AH724" s="20"/>
      <c r="AI724" s="20"/>
      <c r="AJ724" s="36"/>
      <c r="AM724" s="22"/>
      <c r="AO724" s="34"/>
    </row>
    <row r="725">
      <c r="D725" s="16"/>
      <c r="F725" s="17"/>
      <c r="H725" s="16"/>
      <c r="J725" s="17"/>
      <c r="L725" s="16"/>
      <c r="N725" s="17"/>
      <c r="P725" s="16"/>
      <c r="R725" s="17"/>
      <c r="T725" s="16"/>
      <c r="V725" s="17"/>
      <c r="AH725" s="20"/>
      <c r="AI725" s="20"/>
      <c r="AJ725" s="36"/>
      <c r="AM725" s="22"/>
      <c r="AO725" s="34"/>
    </row>
    <row r="726">
      <c r="D726" s="16"/>
      <c r="F726" s="17"/>
      <c r="H726" s="16"/>
      <c r="J726" s="17"/>
      <c r="L726" s="16"/>
      <c r="N726" s="17"/>
      <c r="P726" s="16"/>
      <c r="R726" s="17"/>
      <c r="T726" s="16"/>
      <c r="V726" s="17"/>
      <c r="AH726" s="20"/>
      <c r="AI726" s="20"/>
      <c r="AJ726" s="36"/>
      <c r="AM726" s="22"/>
      <c r="AO726" s="34"/>
    </row>
    <row r="727">
      <c r="D727" s="16"/>
      <c r="F727" s="17"/>
      <c r="H727" s="16"/>
      <c r="J727" s="17"/>
      <c r="L727" s="16"/>
      <c r="N727" s="17"/>
      <c r="P727" s="16"/>
      <c r="R727" s="17"/>
      <c r="T727" s="16"/>
      <c r="V727" s="17"/>
      <c r="AH727" s="20"/>
      <c r="AI727" s="20"/>
      <c r="AJ727" s="36"/>
      <c r="AM727" s="22"/>
      <c r="AO727" s="34"/>
    </row>
    <row r="728">
      <c r="D728" s="16"/>
      <c r="F728" s="17"/>
      <c r="H728" s="16"/>
      <c r="J728" s="17"/>
      <c r="L728" s="16"/>
      <c r="N728" s="17"/>
      <c r="P728" s="16"/>
      <c r="R728" s="17"/>
      <c r="T728" s="16"/>
      <c r="V728" s="17"/>
      <c r="AH728" s="20"/>
      <c r="AI728" s="20"/>
      <c r="AJ728" s="36"/>
      <c r="AM728" s="22"/>
      <c r="AO728" s="34"/>
    </row>
    <row r="729">
      <c r="D729" s="16"/>
      <c r="F729" s="17"/>
      <c r="H729" s="16"/>
      <c r="J729" s="17"/>
      <c r="L729" s="16"/>
      <c r="N729" s="17"/>
      <c r="P729" s="16"/>
      <c r="R729" s="17"/>
      <c r="T729" s="16"/>
      <c r="V729" s="17"/>
      <c r="AH729" s="20"/>
      <c r="AI729" s="20"/>
      <c r="AJ729" s="36"/>
      <c r="AM729" s="22"/>
      <c r="AO729" s="34"/>
    </row>
    <row r="730">
      <c r="D730" s="16"/>
      <c r="F730" s="17"/>
      <c r="H730" s="16"/>
      <c r="J730" s="17"/>
      <c r="L730" s="16"/>
      <c r="N730" s="17"/>
      <c r="P730" s="16"/>
      <c r="R730" s="17"/>
      <c r="T730" s="16"/>
      <c r="V730" s="17"/>
      <c r="AH730" s="20"/>
      <c r="AI730" s="20"/>
      <c r="AJ730" s="36"/>
      <c r="AM730" s="22"/>
      <c r="AO730" s="34"/>
    </row>
    <row r="731">
      <c r="D731" s="16"/>
      <c r="F731" s="17"/>
      <c r="H731" s="16"/>
      <c r="J731" s="17"/>
      <c r="L731" s="16"/>
      <c r="N731" s="17"/>
      <c r="P731" s="16"/>
      <c r="R731" s="17"/>
      <c r="T731" s="16"/>
      <c r="V731" s="17"/>
      <c r="AH731" s="20"/>
      <c r="AI731" s="20"/>
      <c r="AJ731" s="36"/>
      <c r="AM731" s="22"/>
      <c r="AO731" s="34"/>
    </row>
    <row r="732">
      <c r="D732" s="16"/>
      <c r="F732" s="17"/>
      <c r="H732" s="16"/>
      <c r="J732" s="17"/>
      <c r="L732" s="16"/>
      <c r="N732" s="17"/>
      <c r="P732" s="16"/>
      <c r="R732" s="17"/>
      <c r="T732" s="16"/>
      <c r="V732" s="17"/>
      <c r="AH732" s="20"/>
      <c r="AI732" s="20"/>
      <c r="AJ732" s="36"/>
      <c r="AM732" s="22"/>
      <c r="AO732" s="34"/>
    </row>
    <row r="733">
      <c r="D733" s="16"/>
      <c r="F733" s="17"/>
      <c r="H733" s="16"/>
      <c r="J733" s="17"/>
      <c r="L733" s="16"/>
      <c r="N733" s="17"/>
      <c r="P733" s="16"/>
      <c r="R733" s="17"/>
      <c r="T733" s="16"/>
      <c r="V733" s="17"/>
      <c r="AH733" s="20"/>
      <c r="AI733" s="20"/>
      <c r="AJ733" s="36"/>
      <c r="AM733" s="22"/>
      <c r="AO733" s="34"/>
    </row>
    <row r="734">
      <c r="D734" s="16"/>
      <c r="F734" s="17"/>
      <c r="H734" s="16"/>
      <c r="J734" s="17"/>
      <c r="L734" s="16"/>
      <c r="N734" s="17"/>
      <c r="P734" s="16"/>
      <c r="R734" s="17"/>
      <c r="T734" s="16"/>
      <c r="V734" s="17"/>
      <c r="AH734" s="20"/>
      <c r="AI734" s="20"/>
      <c r="AJ734" s="36"/>
      <c r="AM734" s="22"/>
      <c r="AO734" s="34"/>
    </row>
    <row r="735">
      <c r="D735" s="16"/>
      <c r="F735" s="17"/>
      <c r="H735" s="16"/>
      <c r="J735" s="17"/>
      <c r="L735" s="16"/>
      <c r="N735" s="17"/>
      <c r="P735" s="16"/>
      <c r="R735" s="17"/>
      <c r="T735" s="16"/>
      <c r="V735" s="17"/>
      <c r="AH735" s="20"/>
      <c r="AI735" s="20"/>
      <c r="AJ735" s="36"/>
      <c r="AM735" s="22"/>
      <c r="AO735" s="34"/>
    </row>
    <row r="736">
      <c r="D736" s="16"/>
      <c r="F736" s="17"/>
      <c r="H736" s="16"/>
      <c r="J736" s="17"/>
      <c r="L736" s="16"/>
      <c r="N736" s="17"/>
      <c r="P736" s="16"/>
      <c r="R736" s="17"/>
      <c r="T736" s="16"/>
      <c r="V736" s="17"/>
      <c r="AH736" s="20"/>
      <c r="AI736" s="20"/>
      <c r="AJ736" s="36"/>
      <c r="AM736" s="22"/>
      <c r="AO736" s="34"/>
    </row>
    <row r="737">
      <c r="D737" s="16"/>
      <c r="F737" s="17"/>
      <c r="H737" s="16"/>
      <c r="J737" s="17"/>
      <c r="L737" s="16"/>
      <c r="N737" s="17"/>
      <c r="P737" s="16"/>
      <c r="R737" s="17"/>
      <c r="T737" s="16"/>
      <c r="V737" s="17"/>
      <c r="AH737" s="20"/>
      <c r="AI737" s="20"/>
      <c r="AJ737" s="36"/>
      <c r="AM737" s="22"/>
      <c r="AO737" s="34"/>
    </row>
    <row r="738">
      <c r="D738" s="16"/>
      <c r="F738" s="17"/>
      <c r="H738" s="16"/>
      <c r="J738" s="17"/>
      <c r="L738" s="16"/>
      <c r="N738" s="17"/>
      <c r="P738" s="16"/>
      <c r="R738" s="17"/>
      <c r="T738" s="16"/>
      <c r="V738" s="17"/>
      <c r="AH738" s="20"/>
      <c r="AI738" s="20"/>
      <c r="AJ738" s="36"/>
      <c r="AM738" s="22"/>
      <c r="AO738" s="34"/>
    </row>
    <row r="739">
      <c r="D739" s="16"/>
      <c r="F739" s="17"/>
      <c r="H739" s="16"/>
      <c r="J739" s="17"/>
      <c r="L739" s="16"/>
      <c r="N739" s="17"/>
      <c r="P739" s="16"/>
      <c r="R739" s="17"/>
      <c r="T739" s="16"/>
      <c r="V739" s="17"/>
      <c r="AH739" s="20"/>
      <c r="AI739" s="20"/>
      <c r="AJ739" s="36"/>
      <c r="AM739" s="22"/>
      <c r="AO739" s="34"/>
    </row>
    <row r="740">
      <c r="D740" s="16"/>
      <c r="F740" s="17"/>
      <c r="H740" s="16"/>
      <c r="J740" s="17"/>
      <c r="L740" s="16"/>
      <c r="N740" s="17"/>
      <c r="P740" s="16"/>
      <c r="R740" s="17"/>
      <c r="T740" s="16"/>
      <c r="V740" s="17"/>
      <c r="AH740" s="20"/>
      <c r="AI740" s="20"/>
      <c r="AJ740" s="36"/>
      <c r="AM740" s="22"/>
      <c r="AO740" s="34"/>
    </row>
    <row r="741">
      <c r="D741" s="16"/>
      <c r="F741" s="17"/>
      <c r="H741" s="16"/>
      <c r="J741" s="17"/>
      <c r="L741" s="16"/>
      <c r="N741" s="17"/>
      <c r="P741" s="16"/>
      <c r="R741" s="17"/>
      <c r="T741" s="16"/>
      <c r="V741" s="17"/>
      <c r="AH741" s="20"/>
      <c r="AI741" s="20"/>
      <c r="AJ741" s="36"/>
      <c r="AM741" s="22"/>
      <c r="AO741" s="34"/>
    </row>
    <row r="742">
      <c r="D742" s="16"/>
      <c r="F742" s="17"/>
      <c r="H742" s="16"/>
      <c r="J742" s="17"/>
      <c r="L742" s="16"/>
      <c r="N742" s="17"/>
      <c r="P742" s="16"/>
      <c r="R742" s="17"/>
      <c r="T742" s="16"/>
      <c r="V742" s="17"/>
      <c r="AH742" s="20"/>
      <c r="AI742" s="20"/>
      <c r="AJ742" s="36"/>
      <c r="AM742" s="22"/>
      <c r="AO742" s="34"/>
    </row>
    <row r="743">
      <c r="D743" s="16"/>
      <c r="F743" s="17"/>
      <c r="H743" s="16"/>
      <c r="J743" s="17"/>
      <c r="L743" s="16"/>
      <c r="N743" s="17"/>
      <c r="P743" s="16"/>
      <c r="R743" s="17"/>
      <c r="T743" s="16"/>
      <c r="V743" s="17"/>
      <c r="AH743" s="20"/>
      <c r="AI743" s="20"/>
      <c r="AJ743" s="36"/>
      <c r="AM743" s="22"/>
      <c r="AO743" s="34"/>
    </row>
    <row r="744">
      <c r="D744" s="16"/>
      <c r="F744" s="17"/>
      <c r="H744" s="16"/>
      <c r="J744" s="17"/>
      <c r="L744" s="16"/>
      <c r="N744" s="17"/>
      <c r="P744" s="16"/>
      <c r="R744" s="17"/>
      <c r="T744" s="16"/>
      <c r="V744" s="17"/>
      <c r="AH744" s="20"/>
      <c r="AI744" s="20"/>
      <c r="AJ744" s="36"/>
      <c r="AM744" s="22"/>
      <c r="AO744" s="34"/>
    </row>
    <row r="745">
      <c r="D745" s="16"/>
      <c r="F745" s="17"/>
      <c r="H745" s="16"/>
      <c r="J745" s="17"/>
      <c r="L745" s="16"/>
      <c r="N745" s="17"/>
      <c r="P745" s="16"/>
      <c r="R745" s="17"/>
      <c r="T745" s="16"/>
      <c r="V745" s="17"/>
      <c r="AH745" s="20"/>
      <c r="AI745" s="20"/>
      <c r="AJ745" s="36"/>
      <c r="AM745" s="22"/>
      <c r="AO745" s="34"/>
    </row>
    <row r="746">
      <c r="D746" s="16"/>
      <c r="F746" s="17"/>
      <c r="H746" s="16"/>
      <c r="J746" s="17"/>
      <c r="L746" s="16"/>
      <c r="N746" s="17"/>
      <c r="P746" s="16"/>
      <c r="R746" s="17"/>
      <c r="T746" s="16"/>
      <c r="V746" s="17"/>
      <c r="AH746" s="20"/>
      <c r="AI746" s="20"/>
      <c r="AJ746" s="36"/>
      <c r="AM746" s="22"/>
      <c r="AO746" s="34"/>
    </row>
    <row r="747">
      <c r="D747" s="16"/>
      <c r="F747" s="17"/>
      <c r="H747" s="16"/>
      <c r="J747" s="17"/>
      <c r="L747" s="16"/>
      <c r="N747" s="17"/>
      <c r="P747" s="16"/>
      <c r="R747" s="17"/>
      <c r="T747" s="16"/>
      <c r="V747" s="17"/>
      <c r="AH747" s="20"/>
      <c r="AI747" s="20"/>
      <c r="AJ747" s="36"/>
      <c r="AM747" s="22"/>
      <c r="AO747" s="34"/>
    </row>
    <row r="748">
      <c r="D748" s="16"/>
      <c r="F748" s="17"/>
      <c r="H748" s="16"/>
      <c r="J748" s="17"/>
      <c r="L748" s="16"/>
      <c r="N748" s="17"/>
      <c r="P748" s="16"/>
      <c r="R748" s="17"/>
      <c r="T748" s="16"/>
      <c r="V748" s="17"/>
      <c r="AH748" s="20"/>
      <c r="AI748" s="20"/>
      <c r="AJ748" s="36"/>
      <c r="AM748" s="22"/>
      <c r="AO748" s="34"/>
    </row>
    <row r="749">
      <c r="D749" s="16"/>
      <c r="F749" s="17"/>
      <c r="H749" s="16"/>
      <c r="J749" s="17"/>
      <c r="L749" s="16"/>
      <c r="N749" s="17"/>
      <c r="P749" s="16"/>
      <c r="R749" s="17"/>
      <c r="T749" s="16"/>
      <c r="V749" s="17"/>
      <c r="AH749" s="20"/>
      <c r="AI749" s="20"/>
      <c r="AJ749" s="36"/>
      <c r="AM749" s="22"/>
      <c r="AO749" s="34"/>
    </row>
    <row r="750">
      <c r="D750" s="16"/>
      <c r="F750" s="17"/>
      <c r="H750" s="16"/>
      <c r="J750" s="17"/>
      <c r="L750" s="16"/>
      <c r="N750" s="17"/>
      <c r="P750" s="16"/>
      <c r="R750" s="17"/>
      <c r="T750" s="16"/>
      <c r="V750" s="17"/>
      <c r="AH750" s="20"/>
      <c r="AI750" s="20"/>
      <c r="AJ750" s="36"/>
      <c r="AM750" s="22"/>
      <c r="AO750" s="34"/>
    </row>
    <row r="751">
      <c r="D751" s="16"/>
      <c r="F751" s="17"/>
      <c r="H751" s="16"/>
      <c r="J751" s="17"/>
      <c r="L751" s="16"/>
      <c r="N751" s="17"/>
      <c r="P751" s="16"/>
      <c r="R751" s="17"/>
      <c r="T751" s="16"/>
      <c r="V751" s="17"/>
      <c r="AH751" s="20"/>
      <c r="AI751" s="20"/>
      <c r="AJ751" s="36"/>
      <c r="AM751" s="22"/>
      <c r="AO751" s="34"/>
    </row>
    <row r="752">
      <c r="D752" s="16"/>
      <c r="F752" s="17"/>
      <c r="H752" s="16"/>
      <c r="J752" s="17"/>
      <c r="L752" s="16"/>
      <c r="N752" s="17"/>
      <c r="P752" s="16"/>
      <c r="R752" s="17"/>
      <c r="T752" s="16"/>
      <c r="V752" s="17"/>
      <c r="AH752" s="20"/>
      <c r="AI752" s="20"/>
      <c r="AJ752" s="36"/>
      <c r="AM752" s="22"/>
      <c r="AO752" s="34"/>
    </row>
    <row r="753">
      <c r="D753" s="16"/>
      <c r="F753" s="17"/>
      <c r="H753" s="16"/>
      <c r="J753" s="17"/>
      <c r="L753" s="16"/>
      <c r="N753" s="17"/>
      <c r="P753" s="16"/>
      <c r="R753" s="17"/>
      <c r="T753" s="16"/>
      <c r="V753" s="17"/>
      <c r="AH753" s="20"/>
      <c r="AI753" s="20"/>
      <c r="AJ753" s="36"/>
      <c r="AM753" s="22"/>
      <c r="AO753" s="34"/>
    </row>
    <row r="754">
      <c r="D754" s="16"/>
      <c r="F754" s="17"/>
      <c r="H754" s="16"/>
      <c r="J754" s="17"/>
      <c r="L754" s="16"/>
      <c r="N754" s="17"/>
      <c r="P754" s="16"/>
      <c r="R754" s="17"/>
      <c r="T754" s="16"/>
      <c r="V754" s="17"/>
      <c r="AH754" s="20"/>
      <c r="AI754" s="20"/>
      <c r="AJ754" s="36"/>
      <c r="AM754" s="22"/>
      <c r="AO754" s="34"/>
    </row>
    <row r="755">
      <c r="D755" s="16"/>
      <c r="F755" s="17"/>
      <c r="H755" s="16"/>
      <c r="J755" s="17"/>
      <c r="L755" s="16"/>
      <c r="N755" s="17"/>
      <c r="P755" s="16"/>
      <c r="R755" s="17"/>
      <c r="T755" s="16"/>
      <c r="V755" s="17"/>
      <c r="AH755" s="20"/>
      <c r="AI755" s="20"/>
      <c r="AJ755" s="36"/>
      <c r="AM755" s="22"/>
      <c r="AO755" s="34"/>
    </row>
    <row r="756">
      <c r="D756" s="16"/>
      <c r="F756" s="17"/>
      <c r="H756" s="16"/>
      <c r="J756" s="17"/>
      <c r="L756" s="16"/>
      <c r="N756" s="17"/>
      <c r="P756" s="16"/>
      <c r="R756" s="17"/>
      <c r="T756" s="16"/>
      <c r="V756" s="17"/>
      <c r="AH756" s="20"/>
      <c r="AI756" s="20"/>
      <c r="AJ756" s="36"/>
      <c r="AM756" s="22"/>
      <c r="AO756" s="34"/>
    </row>
    <row r="757">
      <c r="D757" s="16"/>
      <c r="F757" s="17"/>
      <c r="H757" s="16"/>
      <c r="J757" s="17"/>
      <c r="L757" s="16"/>
      <c r="N757" s="17"/>
      <c r="P757" s="16"/>
      <c r="R757" s="17"/>
      <c r="T757" s="16"/>
      <c r="V757" s="17"/>
      <c r="AH757" s="20"/>
      <c r="AI757" s="20"/>
      <c r="AJ757" s="36"/>
      <c r="AM757" s="22"/>
      <c r="AO757" s="34"/>
    </row>
    <row r="758">
      <c r="D758" s="16"/>
      <c r="F758" s="17"/>
      <c r="H758" s="16"/>
      <c r="J758" s="17"/>
      <c r="L758" s="16"/>
      <c r="N758" s="17"/>
      <c r="P758" s="16"/>
      <c r="R758" s="17"/>
      <c r="T758" s="16"/>
      <c r="V758" s="17"/>
      <c r="AH758" s="20"/>
      <c r="AI758" s="20"/>
      <c r="AJ758" s="36"/>
      <c r="AM758" s="22"/>
      <c r="AO758" s="34"/>
    </row>
    <row r="759">
      <c r="D759" s="16"/>
      <c r="F759" s="17"/>
      <c r="H759" s="16"/>
      <c r="J759" s="17"/>
      <c r="L759" s="16"/>
      <c r="N759" s="17"/>
      <c r="P759" s="16"/>
      <c r="R759" s="17"/>
      <c r="T759" s="16"/>
      <c r="V759" s="17"/>
      <c r="AH759" s="20"/>
      <c r="AI759" s="20"/>
      <c r="AJ759" s="36"/>
      <c r="AM759" s="22"/>
      <c r="AO759" s="34"/>
    </row>
    <row r="760">
      <c r="D760" s="16"/>
      <c r="F760" s="17"/>
      <c r="H760" s="16"/>
      <c r="J760" s="17"/>
      <c r="L760" s="16"/>
      <c r="N760" s="17"/>
      <c r="P760" s="16"/>
      <c r="R760" s="17"/>
      <c r="T760" s="16"/>
      <c r="V760" s="17"/>
      <c r="AH760" s="20"/>
      <c r="AI760" s="20"/>
      <c r="AJ760" s="36"/>
      <c r="AM760" s="22"/>
      <c r="AO760" s="34"/>
    </row>
    <row r="761">
      <c r="D761" s="16"/>
      <c r="F761" s="17"/>
      <c r="H761" s="16"/>
      <c r="J761" s="17"/>
      <c r="L761" s="16"/>
      <c r="N761" s="17"/>
      <c r="P761" s="16"/>
      <c r="R761" s="17"/>
      <c r="T761" s="16"/>
      <c r="V761" s="17"/>
      <c r="AH761" s="20"/>
      <c r="AI761" s="20"/>
      <c r="AJ761" s="36"/>
      <c r="AM761" s="22"/>
      <c r="AO761" s="34"/>
    </row>
    <row r="762">
      <c r="D762" s="16"/>
      <c r="F762" s="17"/>
      <c r="H762" s="16"/>
      <c r="J762" s="17"/>
      <c r="L762" s="16"/>
      <c r="N762" s="17"/>
      <c r="P762" s="16"/>
      <c r="R762" s="17"/>
      <c r="T762" s="16"/>
      <c r="V762" s="17"/>
      <c r="AH762" s="20"/>
      <c r="AI762" s="20"/>
      <c r="AJ762" s="36"/>
      <c r="AM762" s="22"/>
      <c r="AO762" s="34"/>
    </row>
    <row r="763">
      <c r="D763" s="16"/>
      <c r="F763" s="17"/>
      <c r="H763" s="16"/>
      <c r="J763" s="17"/>
      <c r="L763" s="16"/>
      <c r="N763" s="17"/>
      <c r="P763" s="16"/>
      <c r="R763" s="17"/>
      <c r="T763" s="16"/>
      <c r="V763" s="17"/>
      <c r="AH763" s="20"/>
      <c r="AI763" s="20"/>
      <c r="AJ763" s="36"/>
      <c r="AM763" s="22"/>
      <c r="AO763" s="34"/>
    </row>
    <row r="764">
      <c r="D764" s="16"/>
      <c r="F764" s="17"/>
      <c r="H764" s="16"/>
      <c r="J764" s="17"/>
      <c r="L764" s="16"/>
      <c r="N764" s="17"/>
      <c r="P764" s="16"/>
      <c r="R764" s="17"/>
      <c r="T764" s="16"/>
      <c r="V764" s="17"/>
      <c r="AH764" s="20"/>
      <c r="AI764" s="20"/>
      <c r="AJ764" s="36"/>
      <c r="AM764" s="22"/>
      <c r="AO764" s="34"/>
    </row>
    <row r="765">
      <c r="D765" s="16"/>
      <c r="F765" s="17"/>
      <c r="H765" s="16"/>
      <c r="J765" s="17"/>
      <c r="L765" s="16"/>
      <c r="N765" s="17"/>
      <c r="P765" s="16"/>
      <c r="R765" s="17"/>
      <c r="T765" s="16"/>
      <c r="V765" s="17"/>
      <c r="AH765" s="20"/>
      <c r="AI765" s="20"/>
      <c r="AJ765" s="36"/>
      <c r="AM765" s="22"/>
      <c r="AO765" s="34"/>
    </row>
    <row r="766">
      <c r="D766" s="16"/>
      <c r="F766" s="17"/>
      <c r="H766" s="16"/>
      <c r="J766" s="17"/>
      <c r="L766" s="16"/>
      <c r="N766" s="17"/>
      <c r="P766" s="16"/>
      <c r="R766" s="17"/>
      <c r="T766" s="16"/>
      <c r="V766" s="17"/>
      <c r="AH766" s="20"/>
      <c r="AI766" s="20"/>
      <c r="AJ766" s="36"/>
      <c r="AM766" s="22"/>
      <c r="AO766" s="34"/>
    </row>
    <row r="767">
      <c r="D767" s="16"/>
      <c r="F767" s="17"/>
      <c r="H767" s="16"/>
      <c r="J767" s="17"/>
      <c r="L767" s="16"/>
      <c r="N767" s="17"/>
      <c r="P767" s="16"/>
      <c r="R767" s="17"/>
      <c r="T767" s="16"/>
      <c r="V767" s="17"/>
      <c r="AH767" s="20"/>
      <c r="AI767" s="20"/>
      <c r="AJ767" s="36"/>
      <c r="AM767" s="22"/>
      <c r="AO767" s="34"/>
    </row>
    <row r="768">
      <c r="D768" s="16"/>
      <c r="F768" s="17"/>
      <c r="H768" s="16"/>
      <c r="J768" s="17"/>
      <c r="L768" s="16"/>
      <c r="N768" s="17"/>
      <c r="P768" s="16"/>
      <c r="R768" s="17"/>
      <c r="T768" s="16"/>
      <c r="V768" s="17"/>
      <c r="AH768" s="20"/>
      <c r="AI768" s="20"/>
      <c r="AJ768" s="36"/>
      <c r="AM768" s="22"/>
      <c r="AO768" s="34"/>
    </row>
    <row r="769">
      <c r="D769" s="16"/>
      <c r="F769" s="17"/>
      <c r="H769" s="16"/>
      <c r="J769" s="17"/>
      <c r="L769" s="16"/>
      <c r="N769" s="17"/>
      <c r="P769" s="16"/>
      <c r="R769" s="17"/>
      <c r="T769" s="16"/>
      <c r="V769" s="17"/>
      <c r="AH769" s="20"/>
      <c r="AI769" s="20"/>
      <c r="AJ769" s="36"/>
      <c r="AM769" s="22"/>
      <c r="AO769" s="34"/>
    </row>
    <row r="770">
      <c r="D770" s="16"/>
      <c r="F770" s="17"/>
      <c r="H770" s="16"/>
      <c r="J770" s="17"/>
      <c r="L770" s="16"/>
      <c r="N770" s="17"/>
      <c r="P770" s="16"/>
      <c r="R770" s="17"/>
      <c r="T770" s="16"/>
      <c r="V770" s="17"/>
      <c r="AH770" s="20"/>
      <c r="AI770" s="20"/>
      <c r="AJ770" s="36"/>
      <c r="AM770" s="22"/>
      <c r="AO770" s="34"/>
    </row>
    <row r="771">
      <c r="D771" s="16"/>
      <c r="F771" s="17"/>
      <c r="H771" s="16"/>
      <c r="J771" s="17"/>
      <c r="L771" s="16"/>
      <c r="N771" s="17"/>
      <c r="P771" s="16"/>
      <c r="R771" s="17"/>
      <c r="T771" s="16"/>
      <c r="V771" s="17"/>
      <c r="AH771" s="20"/>
      <c r="AI771" s="20"/>
      <c r="AJ771" s="36"/>
      <c r="AM771" s="22"/>
      <c r="AO771" s="34"/>
    </row>
    <row r="772">
      <c r="D772" s="16"/>
      <c r="F772" s="17"/>
      <c r="H772" s="16"/>
      <c r="J772" s="17"/>
      <c r="L772" s="16"/>
      <c r="N772" s="17"/>
      <c r="P772" s="16"/>
      <c r="R772" s="17"/>
      <c r="T772" s="16"/>
      <c r="V772" s="17"/>
      <c r="AH772" s="20"/>
      <c r="AI772" s="20"/>
      <c r="AJ772" s="36"/>
      <c r="AM772" s="22"/>
      <c r="AO772" s="34"/>
    </row>
    <row r="773">
      <c r="D773" s="16"/>
      <c r="F773" s="17"/>
      <c r="H773" s="16"/>
      <c r="J773" s="17"/>
      <c r="L773" s="16"/>
      <c r="N773" s="17"/>
      <c r="P773" s="16"/>
      <c r="R773" s="17"/>
      <c r="T773" s="16"/>
      <c r="V773" s="17"/>
      <c r="AH773" s="20"/>
      <c r="AI773" s="20"/>
      <c r="AJ773" s="36"/>
      <c r="AM773" s="22"/>
      <c r="AO773" s="34"/>
    </row>
    <row r="774">
      <c r="D774" s="16"/>
      <c r="F774" s="17"/>
      <c r="H774" s="16"/>
      <c r="J774" s="17"/>
      <c r="L774" s="16"/>
      <c r="N774" s="17"/>
      <c r="P774" s="16"/>
      <c r="R774" s="17"/>
      <c r="T774" s="16"/>
      <c r="V774" s="17"/>
      <c r="AH774" s="20"/>
      <c r="AI774" s="20"/>
      <c r="AJ774" s="36"/>
      <c r="AM774" s="22"/>
      <c r="AO774" s="34"/>
    </row>
    <row r="775">
      <c r="D775" s="16"/>
      <c r="F775" s="17"/>
      <c r="H775" s="16"/>
      <c r="J775" s="17"/>
      <c r="L775" s="16"/>
      <c r="N775" s="17"/>
      <c r="P775" s="16"/>
      <c r="R775" s="17"/>
      <c r="T775" s="16"/>
      <c r="V775" s="17"/>
      <c r="AH775" s="20"/>
      <c r="AI775" s="20"/>
      <c r="AJ775" s="36"/>
      <c r="AM775" s="22"/>
      <c r="AO775" s="34"/>
    </row>
    <row r="776">
      <c r="D776" s="16"/>
      <c r="F776" s="17"/>
      <c r="H776" s="16"/>
      <c r="J776" s="17"/>
      <c r="L776" s="16"/>
      <c r="N776" s="17"/>
      <c r="P776" s="16"/>
      <c r="R776" s="17"/>
      <c r="T776" s="16"/>
      <c r="V776" s="17"/>
      <c r="AH776" s="20"/>
      <c r="AI776" s="20"/>
      <c r="AJ776" s="36"/>
      <c r="AM776" s="22"/>
      <c r="AO776" s="34"/>
    </row>
    <row r="777">
      <c r="D777" s="16"/>
      <c r="F777" s="17"/>
      <c r="H777" s="16"/>
      <c r="J777" s="17"/>
      <c r="L777" s="16"/>
      <c r="N777" s="17"/>
      <c r="P777" s="16"/>
      <c r="R777" s="17"/>
      <c r="T777" s="16"/>
      <c r="V777" s="17"/>
      <c r="AH777" s="20"/>
      <c r="AI777" s="20"/>
      <c r="AJ777" s="36"/>
      <c r="AM777" s="22"/>
      <c r="AO777" s="34"/>
    </row>
    <row r="778">
      <c r="D778" s="16"/>
      <c r="F778" s="17"/>
      <c r="H778" s="16"/>
      <c r="J778" s="17"/>
      <c r="L778" s="16"/>
      <c r="N778" s="17"/>
      <c r="P778" s="16"/>
      <c r="R778" s="17"/>
      <c r="T778" s="16"/>
      <c r="V778" s="17"/>
      <c r="AH778" s="20"/>
      <c r="AI778" s="20"/>
      <c r="AJ778" s="36"/>
      <c r="AM778" s="22"/>
      <c r="AO778" s="34"/>
    </row>
    <row r="779">
      <c r="D779" s="16"/>
      <c r="F779" s="17"/>
      <c r="H779" s="16"/>
      <c r="J779" s="17"/>
      <c r="L779" s="16"/>
      <c r="N779" s="17"/>
      <c r="P779" s="16"/>
      <c r="R779" s="17"/>
      <c r="T779" s="16"/>
      <c r="V779" s="17"/>
      <c r="AH779" s="20"/>
      <c r="AI779" s="20"/>
      <c r="AJ779" s="36"/>
      <c r="AM779" s="22"/>
      <c r="AO779" s="34"/>
    </row>
    <row r="780">
      <c r="D780" s="16"/>
      <c r="F780" s="17"/>
      <c r="H780" s="16"/>
      <c r="J780" s="17"/>
      <c r="L780" s="16"/>
      <c r="N780" s="17"/>
      <c r="P780" s="16"/>
      <c r="R780" s="17"/>
      <c r="T780" s="16"/>
      <c r="V780" s="17"/>
      <c r="AH780" s="20"/>
      <c r="AI780" s="20"/>
      <c r="AJ780" s="36"/>
      <c r="AM780" s="22"/>
      <c r="AO780" s="34"/>
    </row>
    <row r="781">
      <c r="D781" s="16"/>
      <c r="F781" s="17"/>
      <c r="H781" s="16"/>
      <c r="J781" s="17"/>
      <c r="L781" s="16"/>
      <c r="N781" s="17"/>
      <c r="P781" s="16"/>
      <c r="R781" s="17"/>
      <c r="T781" s="16"/>
      <c r="V781" s="17"/>
      <c r="AH781" s="20"/>
      <c r="AI781" s="20"/>
      <c r="AJ781" s="36"/>
      <c r="AM781" s="22"/>
      <c r="AO781" s="34"/>
    </row>
    <row r="782">
      <c r="D782" s="16"/>
      <c r="F782" s="17"/>
      <c r="H782" s="16"/>
      <c r="J782" s="17"/>
      <c r="L782" s="16"/>
      <c r="N782" s="17"/>
      <c r="P782" s="16"/>
      <c r="R782" s="17"/>
      <c r="T782" s="16"/>
      <c r="V782" s="17"/>
      <c r="AH782" s="20"/>
      <c r="AI782" s="20"/>
      <c r="AJ782" s="36"/>
      <c r="AM782" s="22"/>
      <c r="AO782" s="34"/>
    </row>
    <row r="783">
      <c r="D783" s="16"/>
      <c r="F783" s="17"/>
      <c r="H783" s="16"/>
      <c r="J783" s="17"/>
      <c r="L783" s="16"/>
      <c r="N783" s="17"/>
      <c r="P783" s="16"/>
      <c r="R783" s="17"/>
      <c r="T783" s="16"/>
      <c r="V783" s="17"/>
      <c r="AH783" s="20"/>
      <c r="AI783" s="20"/>
      <c r="AJ783" s="36"/>
      <c r="AM783" s="22"/>
      <c r="AO783" s="34"/>
    </row>
    <row r="784">
      <c r="D784" s="16"/>
      <c r="F784" s="17"/>
      <c r="H784" s="16"/>
      <c r="J784" s="17"/>
      <c r="L784" s="16"/>
      <c r="N784" s="17"/>
      <c r="P784" s="16"/>
      <c r="R784" s="17"/>
      <c r="T784" s="16"/>
      <c r="V784" s="17"/>
      <c r="AH784" s="20"/>
      <c r="AI784" s="20"/>
      <c r="AJ784" s="36"/>
      <c r="AM784" s="22"/>
      <c r="AO784" s="34"/>
    </row>
    <row r="785">
      <c r="D785" s="16"/>
      <c r="F785" s="17"/>
      <c r="H785" s="16"/>
      <c r="J785" s="17"/>
      <c r="L785" s="16"/>
      <c r="N785" s="17"/>
      <c r="P785" s="16"/>
      <c r="R785" s="17"/>
      <c r="T785" s="16"/>
      <c r="V785" s="17"/>
      <c r="AH785" s="20"/>
      <c r="AI785" s="20"/>
      <c r="AJ785" s="36"/>
      <c r="AM785" s="22"/>
      <c r="AO785" s="34"/>
    </row>
    <row r="786">
      <c r="D786" s="16"/>
      <c r="F786" s="17"/>
      <c r="H786" s="16"/>
      <c r="J786" s="17"/>
      <c r="L786" s="16"/>
      <c r="N786" s="17"/>
      <c r="P786" s="16"/>
      <c r="R786" s="17"/>
      <c r="T786" s="16"/>
      <c r="V786" s="17"/>
      <c r="AH786" s="20"/>
      <c r="AI786" s="20"/>
      <c r="AJ786" s="36"/>
      <c r="AM786" s="22"/>
      <c r="AO786" s="34"/>
    </row>
    <row r="787">
      <c r="D787" s="16"/>
      <c r="F787" s="17"/>
      <c r="H787" s="16"/>
      <c r="J787" s="17"/>
      <c r="L787" s="16"/>
      <c r="N787" s="17"/>
      <c r="P787" s="16"/>
      <c r="R787" s="17"/>
      <c r="T787" s="16"/>
      <c r="V787" s="17"/>
      <c r="AH787" s="20"/>
      <c r="AI787" s="20"/>
      <c r="AJ787" s="36"/>
      <c r="AM787" s="22"/>
      <c r="AO787" s="34"/>
    </row>
    <row r="788">
      <c r="D788" s="16"/>
      <c r="F788" s="17"/>
      <c r="H788" s="16"/>
      <c r="J788" s="17"/>
      <c r="L788" s="16"/>
      <c r="N788" s="17"/>
      <c r="P788" s="16"/>
      <c r="R788" s="17"/>
      <c r="T788" s="16"/>
      <c r="V788" s="17"/>
      <c r="AH788" s="20"/>
      <c r="AI788" s="20"/>
      <c r="AJ788" s="36"/>
      <c r="AM788" s="22"/>
      <c r="AO788" s="34"/>
    </row>
    <row r="789">
      <c r="D789" s="16"/>
      <c r="F789" s="17"/>
      <c r="H789" s="16"/>
      <c r="J789" s="17"/>
      <c r="L789" s="16"/>
      <c r="N789" s="17"/>
      <c r="P789" s="16"/>
      <c r="R789" s="17"/>
      <c r="T789" s="16"/>
      <c r="V789" s="17"/>
      <c r="AH789" s="20"/>
      <c r="AI789" s="20"/>
      <c r="AJ789" s="36"/>
      <c r="AM789" s="22"/>
      <c r="AO789" s="34"/>
    </row>
    <row r="790">
      <c r="D790" s="16"/>
      <c r="F790" s="17"/>
      <c r="H790" s="16"/>
      <c r="J790" s="17"/>
      <c r="L790" s="16"/>
      <c r="N790" s="17"/>
      <c r="P790" s="16"/>
      <c r="R790" s="17"/>
      <c r="T790" s="16"/>
      <c r="V790" s="17"/>
      <c r="AH790" s="20"/>
      <c r="AI790" s="20"/>
      <c r="AJ790" s="36"/>
      <c r="AM790" s="22"/>
      <c r="AO790" s="34"/>
    </row>
    <row r="791">
      <c r="D791" s="16"/>
      <c r="F791" s="17"/>
      <c r="H791" s="16"/>
      <c r="J791" s="17"/>
      <c r="L791" s="16"/>
      <c r="N791" s="17"/>
      <c r="P791" s="16"/>
      <c r="R791" s="17"/>
      <c r="T791" s="16"/>
      <c r="V791" s="17"/>
      <c r="AH791" s="20"/>
      <c r="AI791" s="20"/>
      <c r="AJ791" s="36"/>
      <c r="AM791" s="22"/>
      <c r="AO791" s="34"/>
    </row>
    <row r="792">
      <c r="D792" s="16"/>
      <c r="F792" s="17"/>
      <c r="H792" s="16"/>
      <c r="J792" s="17"/>
      <c r="L792" s="16"/>
      <c r="N792" s="17"/>
      <c r="P792" s="16"/>
      <c r="R792" s="17"/>
      <c r="T792" s="16"/>
      <c r="V792" s="17"/>
      <c r="AH792" s="20"/>
      <c r="AI792" s="20"/>
      <c r="AJ792" s="36"/>
      <c r="AM792" s="22"/>
      <c r="AO792" s="34"/>
    </row>
    <row r="793">
      <c r="D793" s="16"/>
      <c r="F793" s="17"/>
      <c r="H793" s="16"/>
      <c r="J793" s="17"/>
      <c r="L793" s="16"/>
      <c r="N793" s="17"/>
      <c r="P793" s="16"/>
      <c r="R793" s="17"/>
      <c r="T793" s="16"/>
      <c r="V793" s="17"/>
      <c r="AH793" s="20"/>
      <c r="AI793" s="20"/>
      <c r="AJ793" s="36"/>
      <c r="AM793" s="22"/>
      <c r="AO793" s="34"/>
    </row>
    <row r="794">
      <c r="D794" s="16"/>
      <c r="F794" s="17"/>
      <c r="H794" s="16"/>
      <c r="J794" s="17"/>
      <c r="L794" s="16"/>
      <c r="N794" s="17"/>
      <c r="P794" s="16"/>
      <c r="R794" s="17"/>
      <c r="T794" s="16"/>
      <c r="V794" s="17"/>
      <c r="AH794" s="20"/>
      <c r="AI794" s="20"/>
      <c r="AJ794" s="36"/>
      <c r="AM794" s="22"/>
      <c r="AO794" s="34"/>
    </row>
    <row r="795">
      <c r="D795" s="16"/>
      <c r="F795" s="17"/>
      <c r="H795" s="16"/>
      <c r="J795" s="17"/>
      <c r="L795" s="16"/>
      <c r="N795" s="17"/>
      <c r="P795" s="16"/>
      <c r="R795" s="17"/>
      <c r="T795" s="16"/>
      <c r="V795" s="17"/>
      <c r="AH795" s="20"/>
      <c r="AI795" s="20"/>
      <c r="AJ795" s="36"/>
      <c r="AM795" s="22"/>
      <c r="AO795" s="34"/>
    </row>
    <row r="796">
      <c r="D796" s="16"/>
      <c r="F796" s="17"/>
      <c r="H796" s="16"/>
      <c r="J796" s="17"/>
      <c r="L796" s="16"/>
      <c r="N796" s="17"/>
      <c r="P796" s="16"/>
      <c r="R796" s="17"/>
      <c r="T796" s="16"/>
      <c r="V796" s="17"/>
      <c r="AH796" s="20"/>
      <c r="AI796" s="20"/>
      <c r="AJ796" s="36"/>
      <c r="AM796" s="22"/>
      <c r="AO796" s="34"/>
    </row>
    <row r="797">
      <c r="D797" s="16"/>
      <c r="F797" s="17"/>
      <c r="H797" s="16"/>
      <c r="J797" s="17"/>
      <c r="L797" s="16"/>
      <c r="N797" s="17"/>
      <c r="P797" s="16"/>
      <c r="R797" s="17"/>
      <c r="T797" s="16"/>
      <c r="V797" s="17"/>
      <c r="AH797" s="20"/>
      <c r="AI797" s="20"/>
      <c r="AJ797" s="36"/>
      <c r="AM797" s="22"/>
      <c r="AO797" s="34"/>
    </row>
    <row r="798">
      <c r="D798" s="16"/>
      <c r="F798" s="17"/>
      <c r="H798" s="16"/>
      <c r="J798" s="17"/>
      <c r="L798" s="16"/>
      <c r="N798" s="17"/>
      <c r="P798" s="16"/>
      <c r="R798" s="17"/>
      <c r="T798" s="16"/>
      <c r="V798" s="17"/>
      <c r="AH798" s="20"/>
      <c r="AI798" s="20"/>
      <c r="AJ798" s="36"/>
      <c r="AM798" s="22"/>
      <c r="AO798" s="34"/>
    </row>
    <row r="799">
      <c r="D799" s="16"/>
      <c r="F799" s="17"/>
      <c r="H799" s="16"/>
      <c r="J799" s="17"/>
      <c r="L799" s="16"/>
      <c r="N799" s="17"/>
      <c r="P799" s="16"/>
      <c r="R799" s="17"/>
      <c r="T799" s="16"/>
      <c r="V799" s="17"/>
      <c r="AH799" s="20"/>
      <c r="AI799" s="20"/>
      <c r="AJ799" s="36"/>
      <c r="AM799" s="22"/>
      <c r="AO799" s="34"/>
    </row>
    <row r="800">
      <c r="D800" s="16"/>
      <c r="F800" s="17"/>
      <c r="H800" s="16"/>
      <c r="J800" s="17"/>
      <c r="L800" s="16"/>
      <c r="N800" s="17"/>
      <c r="P800" s="16"/>
      <c r="R800" s="17"/>
      <c r="T800" s="16"/>
      <c r="V800" s="17"/>
      <c r="AH800" s="20"/>
      <c r="AI800" s="20"/>
      <c r="AJ800" s="36"/>
      <c r="AM800" s="22"/>
      <c r="AO800" s="34"/>
    </row>
    <row r="801">
      <c r="D801" s="16"/>
      <c r="F801" s="17"/>
      <c r="H801" s="16"/>
      <c r="J801" s="17"/>
      <c r="L801" s="16"/>
      <c r="N801" s="17"/>
      <c r="P801" s="16"/>
      <c r="R801" s="17"/>
      <c r="T801" s="16"/>
      <c r="V801" s="17"/>
      <c r="AH801" s="20"/>
      <c r="AI801" s="20"/>
      <c r="AJ801" s="36"/>
      <c r="AM801" s="22"/>
      <c r="AO801" s="34"/>
    </row>
    <row r="802">
      <c r="D802" s="16"/>
      <c r="F802" s="17"/>
      <c r="H802" s="16"/>
      <c r="J802" s="17"/>
      <c r="L802" s="16"/>
      <c r="N802" s="17"/>
      <c r="P802" s="16"/>
      <c r="R802" s="17"/>
      <c r="T802" s="16"/>
      <c r="V802" s="17"/>
      <c r="AH802" s="20"/>
      <c r="AI802" s="20"/>
      <c r="AJ802" s="36"/>
      <c r="AM802" s="22"/>
      <c r="AO802" s="34"/>
    </row>
    <row r="803">
      <c r="D803" s="16"/>
      <c r="F803" s="17"/>
      <c r="H803" s="16"/>
      <c r="J803" s="17"/>
      <c r="L803" s="16"/>
      <c r="N803" s="17"/>
      <c r="P803" s="16"/>
      <c r="R803" s="17"/>
      <c r="T803" s="16"/>
      <c r="V803" s="17"/>
      <c r="AH803" s="20"/>
      <c r="AI803" s="20"/>
      <c r="AJ803" s="36"/>
      <c r="AM803" s="22"/>
      <c r="AO803" s="34"/>
    </row>
    <row r="804">
      <c r="D804" s="16"/>
      <c r="F804" s="17"/>
      <c r="H804" s="16"/>
      <c r="J804" s="17"/>
      <c r="L804" s="16"/>
      <c r="N804" s="17"/>
      <c r="P804" s="16"/>
      <c r="R804" s="17"/>
      <c r="T804" s="16"/>
      <c r="V804" s="17"/>
      <c r="AH804" s="20"/>
      <c r="AI804" s="20"/>
      <c r="AJ804" s="36"/>
      <c r="AM804" s="22"/>
      <c r="AO804" s="34"/>
    </row>
    <row r="805">
      <c r="D805" s="16"/>
      <c r="F805" s="17"/>
      <c r="H805" s="16"/>
      <c r="J805" s="17"/>
      <c r="L805" s="16"/>
      <c r="N805" s="17"/>
      <c r="P805" s="16"/>
      <c r="R805" s="17"/>
      <c r="T805" s="16"/>
      <c r="V805" s="17"/>
      <c r="AH805" s="20"/>
      <c r="AI805" s="20"/>
      <c r="AJ805" s="36"/>
      <c r="AM805" s="22"/>
      <c r="AO805" s="34"/>
    </row>
    <row r="806">
      <c r="D806" s="16"/>
      <c r="F806" s="17"/>
      <c r="H806" s="16"/>
      <c r="J806" s="17"/>
      <c r="L806" s="16"/>
      <c r="N806" s="17"/>
      <c r="P806" s="16"/>
      <c r="R806" s="17"/>
      <c r="T806" s="16"/>
      <c r="V806" s="17"/>
      <c r="AH806" s="20"/>
      <c r="AI806" s="20"/>
      <c r="AJ806" s="36"/>
      <c r="AM806" s="22"/>
      <c r="AO806" s="34"/>
    </row>
    <row r="807">
      <c r="D807" s="16"/>
      <c r="F807" s="17"/>
      <c r="H807" s="16"/>
      <c r="J807" s="17"/>
      <c r="L807" s="16"/>
      <c r="N807" s="17"/>
      <c r="P807" s="16"/>
      <c r="R807" s="17"/>
      <c r="T807" s="16"/>
      <c r="V807" s="17"/>
      <c r="AH807" s="20"/>
      <c r="AI807" s="20"/>
      <c r="AJ807" s="36"/>
      <c r="AM807" s="22"/>
      <c r="AO807" s="34"/>
    </row>
    <row r="808">
      <c r="D808" s="16"/>
      <c r="F808" s="17"/>
      <c r="H808" s="16"/>
      <c r="J808" s="17"/>
      <c r="L808" s="16"/>
      <c r="N808" s="17"/>
      <c r="P808" s="16"/>
      <c r="R808" s="17"/>
      <c r="T808" s="16"/>
      <c r="V808" s="17"/>
      <c r="AH808" s="20"/>
      <c r="AI808" s="20"/>
      <c r="AJ808" s="36"/>
      <c r="AM808" s="22"/>
      <c r="AO808" s="34"/>
    </row>
    <row r="809">
      <c r="D809" s="16"/>
      <c r="F809" s="17"/>
      <c r="H809" s="16"/>
      <c r="J809" s="17"/>
      <c r="L809" s="16"/>
      <c r="N809" s="17"/>
      <c r="P809" s="16"/>
      <c r="R809" s="17"/>
      <c r="T809" s="16"/>
      <c r="V809" s="17"/>
      <c r="AH809" s="20"/>
      <c r="AI809" s="20"/>
      <c r="AJ809" s="36"/>
      <c r="AM809" s="22"/>
      <c r="AO809" s="34"/>
    </row>
    <row r="810">
      <c r="D810" s="16"/>
      <c r="F810" s="17"/>
      <c r="H810" s="16"/>
      <c r="J810" s="17"/>
      <c r="L810" s="16"/>
      <c r="N810" s="17"/>
      <c r="P810" s="16"/>
      <c r="R810" s="17"/>
      <c r="T810" s="16"/>
      <c r="V810" s="17"/>
      <c r="AH810" s="20"/>
      <c r="AI810" s="20"/>
      <c r="AJ810" s="36"/>
      <c r="AM810" s="22"/>
      <c r="AO810" s="34"/>
    </row>
    <row r="811">
      <c r="D811" s="16"/>
      <c r="F811" s="17"/>
      <c r="H811" s="16"/>
      <c r="J811" s="17"/>
      <c r="L811" s="16"/>
      <c r="N811" s="17"/>
      <c r="P811" s="16"/>
      <c r="R811" s="17"/>
      <c r="T811" s="16"/>
      <c r="V811" s="17"/>
      <c r="AH811" s="20"/>
      <c r="AI811" s="20"/>
      <c r="AJ811" s="36"/>
      <c r="AM811" s="22"/>
      <c r="AO811" s="34"/>
    </row>
    <row r="812">
      <c r="D812" s="16"/>
      <c r="F812" s="17"/>
      <c r="H812" s="16"/>
      <c r="J812" s="17"/>
      <c r="L812" s="16"/>
      <c r="N812" s="17"/>
      <c r="P812" s="16"/>
      <c r="R812" s="17"/>
      <c r="T812" s="16"/>
      <c r="V812" s="17"/>
      <c r="AH812" s="20"/>
      <c r="AI812" s="20"/>
      <c r="AJ812" s="36"/>
      <c r="AM812" s="22"/>
      <c r="AO812" s="34"/>
    </row>
    <row r="813">
      <c r="D813" s="16"/>
      <c r="F813" s="17"/>
      <c r="H813" s="16"/>
      <c r="J813" s="17"/>
      <c r="L813" s="16"/>
      <c r="N813" s="17"/>
      <c r="P813" s="16"/>
      <c r="R813" s="17"/>
      <c r="T813" s="16"/>
      <c r="V813" s="17"/>
      <c r="AH813" s="20"/>
      <c r="AI813" s="20"/>
      <c r="AJ813" s="36"/>
      <c r="AM813" s="22"/>
      <c r="AO813" s="34"/>
    </row>
    <row r="814">
      <c r="D814" s="16"/>
      <c r="F814" s="17"/>
      <c r="H814" s="16"/>
      <c r="J814" s="17"/>
      <c r="L814" s="16"/>
      <c r="N814" s="17"/>
      <c r="P814" s="16"/>
      <c r="R814" s="17"/>
      <c r="T814" s="16"/>
      <c r="V814" s="17"/>
      <c r="AH814" s="20"/>
      <c r="AI814" s="20"/>
      <c r="AJ814" s="36"/>
      <c r="AM814" s="22"/>
      <c r="AO814" s="34"/>
    </row>
    <row r="815">
      <c r="D815" s="16"/>
      <c r="F815" s="17"/>
      <c r="H815" s="16"/>
      <c r="J815" s="17"/>
      <c r="L815" s="16"/>
      <c r="N815" s="17"/>
      <c r="P815" s="16"/>
      <c r="R815" s="17"/>
      <c r="T815" s="16"/>
      <c r="V815" s="17"/>
      <c r="AH815" s="20"/>
      <c r="AI815" s="20"/>
      <c r="AJ815" s="36"/>
      <c r="AM815" s="22"/>
      <c r="AO815" s="34"/>
    </row>
    <row r="816">
      <c r="D816" s="16"/>
      <c r="F816" s="17"/>
      <c r="H816" s="16"/>
      <c r="J816" s="17"/>
      <c r="L816" s="16"/>
      <c r="N816" s="17"/>
      <c r="P816" s="16"/>
      <c r="R816" s="17"/>
      <c r="T816" s="16"/>
      <c r="V816" s="17"/>
      <c r="AH816" s="20"/>
      <c r="AI816" s="20"/>
      <c r="AJ816" s="36"/>
      <c r="AM816" s="22"/>
      <c r="AO816" s="34"/>
    </row>
    <row r="817">
      <c r="D817" s="16"/>
      <c r="F817" s="17"/>
      <c r="H817" s="16"/>
      <c r="J817" s="17"/>
      <c r="L817" s="16"/>
      <c r="N817" s="17"/>
      <c r="P817" s="16"/>
      <c r="R817" s="17"/>
      <c r="T817" s="16"/>
      <c r="V817" s="17"/>
      <c r="AH817" s="20"/>
      <c r="AI817" s="20"/>
      <c r="AJ817" s="36"/>
      <c r="AM817" s="22"/>
      <c r="AO817" s="34"/>
    </row>
    <row r="818">
      <c r="D818" s="16"/>
      <c r="F818" s="17"/>
      <c r="H818" s="16"/>
      <c r="J818" s="17"/>
      <c r="L818" s="16"/>
      <c r="N818" s="17"/>
      <c r="P818" s="16"/>
      <c r="R818" s="17"/>
      <c r="T818" s="16"/>
      <c r="V818" s="17"/>
      <c r="AH818" s="20"/>
      <c r="AI818" s="20"/>
      <c r="AJ818" s="36"/>
      <c r="AM818" s="22"/>
      <c r="AO818" s="34"/>
    </row>
    <row r="819">
      <c r="D819" s="16"/>
      <c r="F819" s="17"/>
      <c r="H819" s="16"/>
      <c r="J819" s="17"/>
      <c r="L819" s="16"/>
      <c r="N819" s="17"/>
      <c r="P819" s="16"/>
      <c r="R819" s="17"/>
      <c r="T819" s="16"/>
      <c r="V819" s="17"/>
      <c r="AH819" s="20"/>
      <c r="AI819" s="20"/>
      <c r="AJ819" s="36"/>
      <c r="AM819" s="22"/>
      <c r="AO819" s="34"/>
    </row>
    <row r="820">
      <c r="D820" s="16"/>
      <c r="F820" s="17"/>
      <c r="H820" s="16"/>
      <c r="J820" s="17"/>
      <c r="L820" s="16"/>
      <c r="N820" s="17"/>
      <c r="P820" s="16"/>
      <c r="R820" s="17"/>
      <c r="T820" s="16"/>
      <c r="V820" s="17"/>
      <c r="AH820" s="20"/>
      <c r="AI820" s="20"/>
      <c r="AJ820" s="36"/>
      <c r="AM820" s="22"/>
      <c r="AO820" s="34"/>
    </row>
    <row r="821">
      <c r="D821" s="16"/>
      <c r="F821" s="17"/>
      <c r="H821" s="16"/>
      <c r="J821" s="17"/>
      <c r="L821" s="16"/>
      <c r="N821" s="17"/>
      <c r="P821" s="16"/>
      <c r="R821" s="17"/>
      <c r="T821" s="16"/>
      <c r="V821" s="17"/>
      <c r="AH821" s="20"/>
      <c r="AI821" s="20"/>
      <c r="AJ821" s="36"/>
      <c r="AM821" s="22"/>
      <c r="AO821" s="34"/>
    </row>
    <row r="822">
      <c r="D822" s="16"/>
      <c r="F822" s="17"/>
      <c r="H822" s="16"/>
      <c r="J822" s="17"/>
      <c r="L822" s="16"/>
      <c r="N822" s="17"/>
      <c r="P822" s="16"/>
      <c r="R822" s="17"/>
      <c r="T822" s="16"/>
      <c r="V822" s="17"/>
      <c r="AH822" s="20"/>
      <c r="AI822" s="20"/>
      <c r="AJ822" s="36"/>
      <c r="AM822" s="22"/>
      <c r="AO822" s="34"/>
    </row>
    <row r="823">
      <c r="D823" s="16"/>
      <c r="F823" s="17"/>
      <c r="H823" s="16"/>
      <c r="J823" s="17"/>
      <c r="L823" s="16"/>
      <c r="N823" s="17"/>
      <c r="P823" s="16"/>
      <c r="R823" s="17"/>
      <c r="T823" s="16"/>
      <c r="V823" s="17"/>
      <c r="AH823" s="20"/>
      <c r="AI823" s="20"/>
      <c r="AJ823" s="36"/>
      <c r="AM823" s="22"/>
      <c r="AO823" s="34"/>
    </row>
    <row r="824">
      <c r="D824" s="16"/>
      <c r="F824" s="17"/>
      <c r="H824" s="16"/>
      <c r="J824" s="17"/>
      <c r="L824" s="16"/>
      <c r="N824" s="17"/>
      <c r="P824" s="16"/>
      <c r="R824" s="17"/>
      <c r="T824" s="16"/>
      <c r="V824" s="17"/>
      <c r="AH824" s="20"/>
      <c r="AI824" s="20"/>
      <c r="AJ824" s="36"/>
      <c r="AM824" s="22"/>
      <c r="AO824" s="34"/>
    </row>
    <row r="825">
      <c r="D825" s="16"/>
      <c r="F825" s="17"/>
      <c r="H825" s="16"/>
      <c r="J825" s="17"/>
      <c r="L825" s="16"/>
      <c r="N825" s="17"/>
      <c r="P825" s="16"/>
      <c r="R825" s="17"/>
      <c r="T825" s="16"/>
      <c r="V825" s="17"/>
      <c r="AH825" s="20"/>
      <c r="AI825" s="20"/>
      <c r="AJ825" s="36"/>
      <c r="AM825" s="22"/>
      <c r="AO825" s="34"/>
    </row>
    <row r="826">
      <c r="D826" s="16"/>
      <c r="F826" s="17"/>
      <c r="H826" s="16"/>
      <c r="J826" s="17"/>
      <c r="L826" s="16"/>
      <c r="N826" s="17"/>
      <c r="P826" s="16"/>
      <c r="R826" s="17"/>
      <c r="T826" s="16"/>
      <c r="V826" s="17"/>
      <c r="AH826" s="20"/>
      <c r="AI826" s="20"/>
      <c r="AJ826" s="36"/>
      <c r="AM826" s="22"/>
      <c r="AO826" s="34"/>
    </row>
    <row r="827">
      <c r="D827" s="16"/>
      <c r="F827" s="17"/>
      <c r="H827" s="16"/>
      <c r="J827" s="17"/>
      <c r="L827" s="16"/>
      <c r="N827" s="17"/>
      <c r="P827" s="16"/>
      <c r="R827" s="17"/>
      <c r="T827" s="16"/>
      <c r="V827" s="17"/>
      <c r="AH827" s="20"/>
      <c r="AI827" s="20"/>
      <c r="AJ827" s="36"/>
      <c r="AM827" s="22"/>
      <c r="AO827" s="34"/>
    </row>
    <row r="828">
      <c r="D828" s="16"/>
      <c r="F828" s="17"/>
      <c r="H828" s="16"/>
      <c r="J828" s="17"/>
      <c r="L828" s="16"/>
      <c r="N828" s="17"/>
      <c r="P828" s="16"/>
      <c r="R828" s="17"/>
      <c r="T828" s="16"/>
      <c r="V828" s="17"/>
      <c r="AH828" s="20"/>
      <c r="AI828" s="20"/>
      <c r="AJ828" s="36"/>
      <c r="AM828" s="22"/>
      <c r="AO828" s="34"/>
    </row>
    <row r="829">
      <c r="D829" s="16"/>
      <c r="F829" s="17"/>
      <c r="H829" s="16"/>
      <c r="J829" s="17"/>
      <c r="L829" s="16"/>
      <c r="N829" s="17"/>
      <c r="P829" s="16"/>
      <c r="R829" s="17"/>
      <c r="T829" s="16"/>
      <c r="V829" s="17"/>
      <c r="AH829" s="20"/>
      <c r="AI829" s="20"/>
      <c r="AJ829" s="36"/>
      <c r="AM829" s="22"/>
      <c r="AO829" s="34"/>
    </row>
    <row r="830">
      <c r="D830" s="16"/>
      <c r="F830" s="17"/>
      <c r="H830" s="16"/>
      <c r="J830" s="17"/>
      <c r="L830" s="16"/>
      <c r="N830" s="17"/>
      <c r="P830" s="16"/>
      <c r="R830" s="17"/>
      <c r="T830" s="16"/>
      <c r="V830" s="17"/>
      <c r="AH830" s="20"/>
      <c r="AI830" s="20"/>
      <c r="AJ830" s="36"/>
      <c r="AM830" s="22"/>
      <c r="AO830" s="34"/>
    </row>
    <row r="831">
      <c r="D831" s="16"/>
      <c r="F831" s="17"/>
      <c r="H831" s="16"/>
      <c r="J831" s="17"/>
      <c r="L831" s="16"/>
      <c r="N831" s="17"/>
      <c r="P831" s="16"/>
      <c r="R831" s="17"/>
      <c r="T831" s="16"/>
      <c r="V831" s="17"/>
      <c r="AH831" s="20"/>
      <c r="AI831" s="20"/>
      <c r="AJ831" s="36"/>
      <c r="AM831" s="22"/>
      <c r="AO831" s="34"/>
    </row>
    <row r="832">
      <c r="D832" s="16"/>
      <c r="F832" s="17"/>
      <c r="H832" s="16"/>
      <c r="J832" s="17"/>
      <c r="L832" s="16"/>
      <c r="N832" s="17"/>
      <c r="P832" s="16"/>
      <c r="R832" s="17"/>
      <c r="T832" s="16"/>
      <c r="V832" s="17"/>
      <c r="AH832" s="20"/>
      <c r="AI832" s="20"/>
      <c r="AJ832" s="36"/>
      <c r="AM832" s="22"/>
      <c r="AO832" s="34"/>
    </row>
    <row r="833">
      <c r="D833" s="16"/>
      <c r="F833" s="17"/>
      <c r="H833" s="16"/>
      <c r="J833" s="17"/>
      <c r="L833" s="16"/>
      <c r="N833" s="17"/>
      <c r="P833" s="16"/>
      <c r="R833" s="17"/>
      <c r="T833" s="16"/>
      <c r="V833" s="17"/>
      <c r="AH833" s="20"/>
      <c r="AI833" s="20"/>
      <c r="AJ833" s="36"/>
      <c r="AM833" s="22"/>
      <c r="AO833" s="34"/>
    </row>
    <row r="834">
      <c r="D834" s="16"/>
      <c r="F834" s="17"/>
      <c r="H834" s="16"/>
      <c r="J834" s="17"/>
      <c r="L834" s="16"/>
      <c r="N834" s="17"/>
      <c r="P834" s="16"/>
      <c r="R834" s="17"/>
      <c r="T834" s="16"/>
      <c r="V834" s="17"/>
      <c r="AH834" s="20"/>
      <c r="AI834" s="20"/>
      <c r="AJ834" s="36"/>
      <c r="AM834" s="22"/>
      <c r="AO834" s="34"/>
    </row>
    <row r="835">
      <c r="D835" s="16"/>
      <c r="F835" s="17"/>
      <c r="H835" s="16"/>
      <c r="J835" s="17"/>
      <c r="L835" s="16"/>
      <c r="N835" s="17"/>
      <c r="P835" s="16"/>
      <c r="R835" s="17"/>
      <c r="T835" s="16"/>
      <c r="V835" s="17"/>
      <c r="AH835" s="20"/>
      <c r="AI835" s="20"/>
      <c r="AJ835" s="36"/>
      <c r="AM835" s="22"/>
      <c r="AO835" s="34"/>
    </row>
    <row r="836">
      <c r="D836" s="16"/>
      <c r="F836" s="17"/>
      <c r="H836" s="16"/>
      <c r="J836" s="17"/>
      <c r="L836" s="16"/>
      <c r="N836" s="17"/>
      <c r="P836" s="16"/>
      <c r="R836" s="17"/>
      <c r="T836" s="16"/>
      <c r="V836" s="17"/>
      <c r="AH836" s="20"/>
      <c r="AI836" s="20"/>
      <c r="AJ836" s="36"/>
      <c r="AM836" s="22"/>
      <c r="AO836" s="34"/>
    </row>
    <row r="837">
      <c r="D837" s="16"/>
      <c r="F837" s="17"/>
      <c r="H837" s="16"/>
      <c r="J837" s="17"/>
      <c r="L837" s="16"/>
      <c r="N837" s="17"/>
      <c r="P837" s="16"/>
      <c r="R837" s="17"/>
      <c r="T837" s="16"/>
      <c r="V837" s="17"/>
      <c r="AH837" s="20"/>
      <c r="AI837" s="20"/>
      <c r="AJ837" s="36"/>
      <c r="AM837" s="22"/>
      <c r="AO837" s="34"/>
    </row>
    <row r="838">
      <c r="D838" s="16"/>
      <c r="F838" s="17"/>
      <c r="H838" s="16"/>
      <c r="J838" s="17"/>
      <c r="L838" s="16"/>
      <c r="N838" s="17"/>
      <c r="P838" s="16"/>
      <c r="R838" s="17"/>
      <c r="T838" s="16"/>
      <c r="V838" s="17"/>
      <c r="AH838" s="20"/>
      <c r="AI838" s="20"/>
      <c r="AJ838" s="36"/>
      <c r="AM838" s="22"/>
      <c r="AO838" s="34"/>
    </row>
    <row r="839">
      <c r="D839" s="16"/>
      <c r="F839" s="17"/>
      <c r="H839" s="16"/>
      <c r="J839" s="17"/>
      <c r="L839" s="16"/>
      <c r="N839" s="17"/>
      <c r="P839" s="16"/>
      <c r="R839" s="17"/>
      <c r="T839" s="16"/>
      <c r="V839" s="17"/>
      <c r="AH839" s="20"/>
      <c r="AI839" s="20"/>
      <c r="AJ839" s="36"/>
      <c r="AM839" s="22"/>
      <c r="AO839" s="34"/>
    </row>
    <row r="840">
      <c r="D840" s="16"/>
      <c r="F840" s="17"/>
      <c r="H840" s="16"/>
      <c r="J840" s="17"/>
      <c r="L840" s="16"/>
      <c r="N840" s="17"/>
      <c r="P840" s="16"/>
      <c r="R840" s="17"/>
      <c r="T840" s="16"/>
      <c r="V840" s="17"/>
      <c r="AH840" s="20"/>
      <c r="AI840" s="20"/>
      <c r="AJ840" s="36"/>
      <c r="AM840" s="22"/>
      <c r="AO840" s="34"/>
    </row>
    <row r="841">
      <c r="D841" s="16"/>
      <c r="F841" s="17"/>
      <c r="H841" s="16"/>
      <c r="J841" s="17"/>
      <c r="L841" s="16"/>
      <c r="N841" s="17"/>
      <c r="P841" s="16"/>
      <c r="R841" s="17"/>
      <c r="T841" s="16"/>
      <c r="V841" s="17"/>
      <c r="AH841" s="20"/>
      <c r="AI841" s="20"/>
      <c r="AJ841" s="36"/>
      <c r="AM841" s="22"/>
      <c r="AO841" s="34"/>
    </row>
    <row r="842">
      <c r="D842" s="16"/>
      <c r="F842" s="17"/>
      <c r="H842" s="16"/>
      <c r="J842" s="17"/>
      <c r="L842" s="16"/>
      <c r="N842" s="17"/>
      <c r="P842" s="16"/>
      <c r="R842" s="17"/>
      <c r="T842" s="16"/>
      <c r="V842" s="17"/>
      <c r="AH842" s="20"/>
      <c r="AI842" s="20"/>
      <c r="AJ842" s="36"/>
      <c r="AM842" s="22"/>
      <c r="AO842" s="34"/>
    </row>
    <row r="843">
      <c r="D843" s="16"/>
      <c r="F843" s="17"/>
      <c r="H843" s="16"/>
      <c r="J843" s="17"/>
      <c r="L843" s="16"/>
      <c r="N843" s="17"/>
      <c r="P843" s="16"/>
      <c r="R843" s="17"/>
      <c r="T843" s="16"/>
      <c r="V843" s="17"/>
      <c r="AH843" s="20"/>
      <c r="AI843" s="20"/>
      <c r="AJ843" s="36"/>
      <c r="AM843" s="22"/>
      <c r="AO843" s="34"/>
    </row>
    <row r="844">
      <c r="D844" s="16"/>
      <c r="F844" s="17"/>
      <c r="H844" s="16"/>
      <c r="J844" s="17"/>
      <c r="L844" s="16"/>
      <c r="N844" s="17"/>
      <c r="P844" s="16"/>
      <c r="R844" s="17"/>
      <c r="T844" s="16"/>
      <c r="V844" s="17"/>
      <c r="AH844" s="20"/>
      <c r="AI844" s="20"/>
      <c r="AJ844" s="36"/>
      <c r="AM844" s="22"/>
      <c r="AO844" s="34"/>
    </row>
    <row r="845">
      <c r="D845" s="16"/>
      <c r="F845" s="17"/>
      <c r="H845" s="16"/>
      <c r="J845" s="17"/>
      <c r="L845" s="16"/>
      <c r="N845" s="17"/>
      <c r="P845" s="16"/>
      <c r="R845" s="17"/>
      <c r="T845" s="16"/>
      <c r="V845" s="17"/>
      <c r="AH845" s="20"/>
      <c r="AI845" s="20"/>
      <c r="AJ845" s="36"/>
      <c r="AM845" s="22"/>
      <c r="AO845" s="34"/>
    </row>
    <row r="846">
      <c r="D846" s="16"/>
      <c r="F846" s="17"/>
      <c r="H846" s="16"/>
      <c r="J846" s="17"/>
      <c r="L846" s="16"/>
      <c r="N846" s="17"/>
      <c r="P846" s="16"/>
      <c r="R846" s="17"/>
      <c r="T846" s="16"/>
      <c r="V846" s="17"/>
      <c r="AH846" s="20"/>
      <c r="AI846" s="20"/>
      <c r="AJ846" s="36"/>
      <c r="AM846" s="22"/>
      <c r="AO846" s="34"/>
    </row>
    <row r="847">
      <c r="D847" s="16"/>
      <c r="F847" s="17"/>
      <c r="H847" s="16"/>
      <c r="J847" s="17"/>
      <c r="L847" s="16"/>
      <c r="N847" s="17"/>
      <c r="P847" s="16"/>
      <c r="R847" s="17"/>
      <c r="T847" s="16"/>
      <c r="V847" s="17"/>
      <c r="AH847" s="20"/>
      <c r="AI847" s="20"/>
      <c r="AJ847" s="36"/>
      <c r="AM847" s="22"/>
      <c r="AO847" s="34"/>
    </row>
    <row r="848">
      <c r="D848" s="16"/>
      <c r="F848" s="17"/>
      <c r="H848" s="16"/>
      <c r="J848" s="17"/>
      <c r="L848" s="16"/>
      <c r="N848" s="17"/>
      <c r="P848" s="16"/>
      <c r="R848" s="17"/>
      <c r="T848" s="16"/>
      <c r="V848" s="17"/>
      <c r="AH848" s="20"/>
      <c r="AI848" s="20"/>
      <c r="AJ848" s="36"/>
      <c r="AM848" s="22"/>
      <c r="AO848" s="34"/>
    </row>
    <row r="849">
      <c r="D849" s="16"/>
      <c r="F849" s="17"/>
      <c r="H849" s="16"/>
      <c r="J849" s="17"/>
      <c r="L849" s="16"/>
      <c r="N849" s="17"/>
      <c r="P849" s="16"/>
      <c r="R849" s="17"/>
      <c r="T849" s="16"/>
      <c r="V849" s="17"/>
      <c r="AH849" s="20"/>
      <c r="AI849" s="20"/>
      <c r="AJ849" s="36"/>
      <c r="AM849" s="22"/>
      <c r="AO849" s="34"/>
    </row>
    <row r="850">
      <c r="D850" s="16"/>
      <c r="F850" s="17"/>
      <c r="H850" s="16"/>
      <c r="J850" s="17"/>
      <c r="L850" s="16"/>
      <c r="N850" s="17"/>
      <c r="P850" s="16"/>
      <c r="R850" s="17"/>
      <c r="T850" s="16"/>
      <c r="V850" s="17"/>
      <c r="AH850" s="20"/>
      <c r="AI850" s="20"/>
      <c r="AJ850" s="36"/>
      <c r="AM850" s="22"/>
      <c r="AO850" s="34"/>
    </row>
    <row r="851">
      <c r="D851" s="16"/>
      <c r="F851" s="17"/>
      <c r="H851" s="16"/>
      <c r="J851" s="17"/>
      <c r="L851" s="16"/>
      <c r="N851" s="17"/>
      <c r="P851" s="16"/>
      <c r="R851" s="17"/>
      <c r="T851" s="16"/>
      <c r="V851" s="17"/>
      <c r="AH851" s="20"/>
      <c r="AI851" s="20"/>
      <c r="AJ851" s="36"/>
      <c r="AM851" s="22"/>
      <c r="AO851" s="34"/>
    </row>
    <row r="852">
      <c r="D852" s="16"/>
      <c r="F852" s="17"/>
      <c r="H852" s="16"/>
      <c r="J852" s="17"/>
      <c r="L852" s="16"/>
      <c r="N852" s="17"/>
      <c r="P852" s="16"/>
      <c r="R852" s="17"/>
      <c r="T852" s="16"/>
      <c r="V852" s="17"/>
      <c r="AH852" s="20"/>
      <c r="AI852" s="20"/>
      <c r="AJ852" s="36"/>
      <c r="AM852" s="22"/>
      <c r="AO852" s="34"/>
    </row>
    <row r="853">
      <c r="D853" s="16"/>
      <c r="F853" s="17"/>
      <c r="H853" s="16"/>
      <c r="J853" s="17"/>
      <c r="L853" s="16"/>
      <c r="N853" s="17"/>
      <c r="P853" s="16"/>
      <c r="R853" s="17"/>
      <c r="T853" s="16"/>
      <c r="V853" s="17"/>
      <c r="AH853" s="20"/>
      <c r="AI853" s="20"/>
      <c r="AJ853" s="36"/>
      <c r="AM853" s="22"/>
      <c r="AO853" s="34"/>
    </row>
    <row r="854">
      <c r="D854" s="16"/>
      <c r="F854" s="17"/>
      <c r="H854" s="16"/>
      <c r="J854" s="17"/>
      <c r="L854" s="16"/>
      <c r="N854" s="17"/>
      <c r="P854" s="16"/>
      <c r="R854" s="17"/>
      <c r="T854" s="16"/>
      <c r="V854" s="17"/>
      <c r="AH854" s="20"/>
      <c r="AI854" s="20"/>
      <c r="AJ854" s="36"/>
      <c r="AM854" s="22"/>
      <c r="AO854" s="34"/>
    </row>
    <row r="855">
      <c r="D855" s="16"/>
      <c r="F855" s="17"/>
      <c r="H855" s="16"/>
      <c r="J855" s="17"/>
      <c r="L855" s="16"/>
      <c r="N855" s="17"/>
      <c r="P855" s="16"/>
      <c r="R855" s="17"/>
      <c r="T855" s="16"/>
      <c r="V855" s="17"/>
      <c r="AH855" s="20"/>
      <c r="AI855" s="20"/>
      <c r="AJ855" s="36"/>
      <c r="AM855" s="22"/>
      <c r="AO855" s="34"/>
    </row>
    <row r="856">
      <c r="D856" s="16"/>
      <c r="F856" s="17"/>
      <c r="H856" s="16"/>
      <c r="J856" s="17"/>
      <c r="L856" s="16"/>
      <c r="N856" s="17"/>
      <c r="P856" s="16"/>
      <c r="R856" s="17"/>
      <c r="T856" s="16"/>
      <c r="V856" s="17"/>
      <c r="AH856" s="20"/>
      <c r="AI856" s="20"/>
      <c r="AJ856" s="36"/>
      <c r="AM856" s="22"/>
      <c r="AO856" s="34"/>
    </row>
    <row r="857">
      <c r="D857" s="16"/>
      <c r="F857" s="17"/>
      <c r="H857" s="16"/>
      <c r="J857" s="17"/>
      <c r="L857" s="16"/>
      <c r="N857" s="17"/>
      <c r="P857" s="16"/>
      <c r="R857" s="17"/>
      <c r="T857" s="16"/>
      <c r="V857" s="17"/>
      <c r="AH857" s="20"/>
      <c r="AI857" s="20"/>
      <c r="AJ857" s="36"/>
      <c r="AM857" s="22"/>
      <c r="AO857" s="34"/>
    </row>
    <row r="858">
      <c r="D858" s="16"/>
      <c r="F858" s="17"/>
      <c r="H858" s="16"/>
      <c r="J858" s="17"/>
      <c r="L858" s="16"/>
      <c r="N858" s="17"/>
      <c r="P858" s="16"/>
      <c r="R858" s="17"/>
      <c r="T858" s="16"/>
      <c r="V858" s="17"/>
      <c r="AH858" s="20"/>
      <c r="AI858" s="20"/>
      <c r="AJ858" s="36"/>
      <c r="AM858" s="22"/>
      <c r="AO858" s="34"/>
    </row>
    <row r="859">
      <c r="D859" s="16"/>
      <c r="F859" s="17"/>
      <c r="H859" s="16"/>
      <c r="J859" s="17"/>
      <c r="L859" s="16"/>
      <c r="N859" s="17"/>
      <c r="P859" s="16"/>
      <c r="R859" s="17"/>
      <c r="T859" s="16"/>
      <c r="V859" s="17"/>
      <c r="AH859" s="20"/>
      <c r="AI859" s="20"/>
      <c r="AJ859" s="36"/>
      <c r="AM859" s="22"/>
      <c r="AO859" s="34"/>
    </row>
    <row r="860">
      <c r="D860" s="16"/>
      <c r="F860" s="17"/>
      <c r="H860" s="16"/>
      <c r="J860" s="17"/>
      <c r="L860" s="16"/>
      <c r="N860" s="17"/>
      <c r="P860" s="16"/>
      <c r="R860" s="17"/>
      <c r="T860" s="16"/>
      <c r="V860" s="17"/>
      <c r="AH860" s="20"/>
      <c r="AI860" s="20"/>
      <c r="AJ860" s="36"/>
      <c r="AM860" s="22"/>
      <c r="AO860" s="34"/>
    </row>
    <row r="861">
      <c r="D861" s="16"/>
      <c r="F861" s="17"/>
      <c r="H861" s="16"/>
      <c r="J861" s="17"/>
      <c r="L861" s="16"/>
      <c r="N861" s="17"/>
      <c r="P861" s="16"/>
      <c r="R861" s="17"/>
      <c r="T861" s="16"/>
      <c r="V861" s="17"/>
      <c r="AH861" s="20"/>
      <c r="AI861" s="20"/>
      <c r="AJ861" s="36"/>
      <c r="AM861" s="22"/>
      <c r="AO861" s="34"/>
    </row>
    <row r="862">
      <c r="D862" s="16"/>
      <c r="F862" s="17"/>
      <c r="H862" s="16"/>
      <c r="J862" s="17"/>
      <c r="L862" s="16"/>
      <c r="N862" s="17"/>
      <c r="P862" s="16"/>
      <c r="R862" s="17"/>
      <c r="T862" s="16"/>
      <c r="V862" s="17"/>
      <c r="AH862" s="20"/>
      <c r="AI862" s="20"/>
      <c r="AJ862" s="36"/>
      <c r="AM862" s="22"/>
      <c r="AO862" s="34"/>
    </row>
    <row r="863">
      <c r="D863" s="16"/>
      <c r="F863" s="17"/>
      <c r="H863" s="16"/>
      <c r="J863" s="17"/>
      <c r="L863" s="16"/>
      <c r="N863" s="17"/>
      <c r="P863" s="16"/>
      <c r="R863" s="17"/>
      <c r="T863" s="16"/>
      <c r="V863" s="17"/>
      <c r="AH863" s="20"/>
      <c r="AI863" s="20"/>
      <c r="AJ863" s="36"/>
      <c r="AM863" s="22"/>
      <c r="AO863" s="34"/>
    </row>
    <row r="864">
      <c r="D864" s="16"/>
      <c r="F864" s="17"/>
      <c r="H864" s="16"/>
      <c r="J864" s="17"/>
      <c r="L864" s="16"/>
      <c r="N864" s="17"/>
      <c r="P864" s="16"/>
      <c r="R864" s="17"/>
      <c r="T864" s="16"/>
      <c r="V864" s="17"/>
      <c r="AH864" s="20"/>
      <c r="AI864" s="20"/>
      <c r="AJ864" s="36"/>
      <c r="AM864" s="22"/>
      <c r="AO864" s="34"/>
    </row>
    <row r="865">
      <c r="D865" s="16"/>
      <c r="F865" s="17"/>
      <c r="H865" s="16"/>
      <c r="J865" s="17"/>
      <c r="L865" s="16"/>
      <c r="N865" s="17"/>
      <c r="P865" s="16"/>
      <c r="R865" s="17"/>
      <c r="T865" s="16"/>
      <c r="V865" s="17"/>
      <c r="AH865" s="20"/>
      <c r="AI865" s="20"/>
      <c r="AJ865" s="36"/>
      <c r="AM865" s="22"/>
      <c r="AO865" s="34"/>
    </row>
    <row r="866">
      <c r="D866" s="16"/>
      <c r="F866" s="17"/>
      <c r="H866" s="16"/>
      <c r="J866" s="17"/>
      <c r="L866" s="16"/>
      <c r="N866" s="17"/>
      <c r="P866" s="16"/>
      <c r="R866" s="17"/>
      <c r="T866" s="16"/>
      <c r="V866" s="17"/>
      <c r="AH866" s="20"/>
      <c r="AI866" s="20"/>
      <c r="AJ866" s="36"/>
      <c r="AM866" s="22"/>
      <c r="AO866" s="34"/>
    </row>
    <row r="867">
      <c r="D867" s="16"/>
      <c r="F867" s="17"/>
      <c r="H867" s="16"/>
      <c r="J867" s="17"/>
      <c r="L867" s="16"/>
      <c r="N867" s="17"/>
      <c r="P867" s="16"/>
      <c r="R867" s="17"/>
      <c r="T867" s="16"/>
      <c r="V867" s="17"/>
      <c r="AH867" s="20"/>
      <c r="AI867" s="20"/>
      <c r="AJ867" s="36"/>
      <c r="AM867" s="22"/>
      <c r="AO867" s="34"/>
    </row>
    <row r="868">
      <c r="D868" s="16"/>
      <c r="F868" s="17"/>
      <c r="H868" s="16"/>
      <c r="J868" s="17"/>
      <c r="L868" s="16"/>
      <c r="N868" s="17"/>
      <c r="P868" s="16"/>
      <c r="R868" s="17"/>
      <c r="T868" s="16"/>
      <c r="V868" s="17"/>
      <c r="AH868" s="20"/>
      <c r="AI868" s="20"/>
      <c r="AJ868" s="36"/>
      <c r="AM868" s="22"/>
      <c r="AO868" s="34"/>
    </row>
    <row r="869">
      <c r="D869" s="16"/>
      <c r="F869" s="17"/>
      <c r="H869" s="16"/>
      <c r="J869" s="17"/>
      <c r="L869" s="16"/>
      <c r="N869" s="17"/>
      <c r="P869" s="16"/>
      <c r="R869" s="17"/>
      <c r="T869" s="16"/>
      <c r="V869" s="17"/>
      <c r="AH869" s="20"/>
      <c r="AI869" s="20"/>
      <c r="AJ869" s="36"/>
      <c r="AM869" s="22"/>
      <c r="AO869" s="34"/>
    </row>
    <row r="870">
      <c r="D870" s="16"/>
      <c r="F870" s="17"/>
      <c r="H870" s="16"/>
      <c r="J870" s="17"/>
      <c r="L870" s="16"/>
      <c r="N870" s="17"/>
      <c r="P870" s="16"/>
      <c r="R870" s="17"/>
      <c r="T870" s="16"/>
      <c r="V870" s="17"/>
      <c r="AH870" s="20"/>
      <c r="AI870" s="20"/>
      <c r="AJ870" s="36"/>
      <c r="AM870" s="22"/>
      <c r="AO870" s="34"/>
    </row>
    <row r="871">
      <c r="D871" s="16"/>
      <c r="F871" s="17"/>
      <c r="H871" s="16"/>
      <c r="J871" s="17"/>
      <c r="L871" s="16"/>
      <c r="N871" s="17"/>
      <c r="P871" s="16"/>
      <c r="R871" s="17"/>
      <c r="T871" s="16"/>
      <c r="V871" s="17"/>
      <c r="AH871" s="20"/>
      <c r="AI871" s="20"/>
      <c r="AJ871" s="36"/>
      <c r="AM871" s="22"/>
      <c r="AO871" s="34"/>
    </row>
    <row r="872">
      <c r="D872" s="16"/>
      <c r="F872" s="17"/>
      <c r="H872" s="16"/>
      <c r="J872" s="17"/>
      <c r="L872" s="16"/>
      <c r="N872" s="17"/>
      <c r="P872" s="16"/>
      <c r="R872" s="17"/>
      <c r="T872" s="16"/>
      <c r="V872" s="17"/>
      <c r="AH872" s="20"/>
      <c r="AI872" s="20"/>
      <c r="AJ872" s="36"/>
      <c r="AM872" s="22"/>
      <c r="AO872" s="34"/>
    </row>
    <row r="873">
      <c r="D873" s="16"/>
      <c r="F873" s="17"/>
      <c r="H873" s="16"/>
      <c r="J873" s="17"/>
      <c r="L873" s="16"/>
      <c r="N873" s="17"/>
      <c r="P873" s="16"/>
      <c r="R873" s="17"/>
      <c r="T873" s="16"/>
      <c r="V873" s="17"/>
      <c r="AH873" s="20"/>
      <c r="AI873" s="20"/>
      <c r="AJ873" s="36"/>
      <c r="AM873" s="22"/>
      <c r="AO873" s="34"/>
    </row>
    <row r="874">
      <c r="D874" s="16"/>
      <c r="F874" s="17"/>
      <c r="H874" s="16"/>
      <c r="J874" s="17"/>
      <c r="L874" s="16"/>
      <c r="N874" s="17"/>
      <c r="P874" s="16"/>
      <c r="R874" s="17"/>
      <c r="T874" s="16"/>
      <c r="V874" s="17"/>
      <c r="AH874" s="20"/>
      <c r="AI874" s="20"/>
      <c r="AJ874" s="36"/>
      <c r="AM874" s="22"/>
      <c r="AO874" s="34"/>
    </row>
    <row r="875">
      <c r="D875" s="16"/>
      <c r="F875" s="17"/>
      <c r="H875" s="16"/>
      <c r="J875" s="17"/>
      <c r="L875" s="16"/>
      <c r="N875" s="17"/>
      <c r="P875" s="16"/>
      <c r="R875" s="17"/>
      <c r="T875" s="16"/>
      <c r="V875" s="17"/>
      <c r="AH875" s="20"/>
      <c r="AI875" s="20"/>
      <c r="AJ875" s="36"/>
      <c r="AM875" s="22"/>
      <c r="AO875" s="34"/>
    </row>
    <row r="876">
      <c r="D876" s="16"/>
      <c r="F876" s="17"/>
      <c r="H876" s="16"/>
      <c r="J876" s="17"/>
      <c r="L876" s="16"/>
      <c r="N876" s="17"/>
      <c r="P876" s="16"/>
      <c r="R876" s="17"/>
      <c r="T876" s="16"/>
      <c r="V876" s="17"/>
      <c r="AH876" s="20"/>
      <c r="AI876" s="20"/>
      <c r="AJ876" s="36"/>
      <c r="AM876" s="22"/>
      <c r="AO876" s="34"/>
    </row>
    <row r="877">
      <c r="D877" s="16"/>
      <c r="F877" s="17"/>
      <c r="H877" s="16"/>
      <c r="J877" s="17"/>
      <c r="L877" s="16"/>
      <c r="N877" s="17"/>
      <c r="P877" s="16"/>
      <c r="R877" s="17"/>
      <c r="T877" s="16"/>
      <c r="V877" s="17"/>
      <c r="AH877" s="20"/>
      <c r="AI877" s="20"/>
      <c r="AJ877" s="36"/>
      <c r="AM877" s="22"/>
      <c r="AO877" s="34"/>
    </row>
    <row r="878">
      <c r="D878" s="16"/>
      <c r="F878" s="17"/>
      <c r="H878" s="16"/>
      <c r="J878" s="17"/>
      <c r="L878" s="16"/>
      <c r="N878" s="17"/>
      <c r="P878" s="16"/>
      <c r="R878" s="17"/>
      <c r="T878" s="16"/>
      <c r="V878" s="17"/>
      <c r="AH878" s="20"/>
      <c r="AI878" s="20"/>
      <c r="AJ878" s="36"/>
      <c r="AM878" s="22"/>
      <c r="AO878" s="34"/>
    </row>
    <row r="879">
      <c r="D879" s="16"/>
      <c r="F879" s="17"/>
      <c r="H879" s="16"/>
      <c r="J879" s="17"/>
      <c r="L879" s="16"/>
      <c r="N879" s="17"/>
      <c r="P879" s="16"/>
      <c r="R879" s="17"/>
      <c r="T879" s="16"/>
      <c r="V879" s="17"/>
      <c r="AH879" s="20"/>
      <c r="AI879" s="20"/>
      <c r="AJ879" s="36"/>
      <c r="AM879" s="22"/>
      <c r="AO879" s="34"/>
    </row>
    <row r="880">
      <c r="D880" s="16"/>
      <c r="F880" s="17"/>
      <c r="H880" s="16"/>
      <c r="J880" s="17"/>
      <c r="L880" s="16"/>
      <c r="N880" s="17"/>
      <c r="P880" s="16"/>
      <c r="R880" s="17"/>
      <c r="T880" s="16"/>
      <c r="V880" s="17"/>
      <c r="AH880" s="20"/>
      <c r="AI880" s="20"/>
      <c r="AJ880" s="36"/>
      <c r="AM880" s="22"/>
      <c r="AO880" s="34"/>
    </row>
    <row r="881">
      <c r="D881" s="16"/>
      <c r="F881" s="17"/>
      <c r="H881" s="16"/>
      <c r="J881" s="17"/>
      <c r="L881" s="16"/>
      <c r="N881" s="17"/>
      <c r="P881" s="16"/>
      <c r="R881" s="17"/>
      <c r="T881" s="16"/>
      <c r="V881" s="17"/>
      <c r="AH881" s="20"/>
      <c r="AI881" s="20"/>
      <c r="AJ881" s="36"/>
      <c r="AM881" s="22"/>
      <c r="AO881" s="34"/>
    </row>
    <row r="882">
      <c r="D882" s="16"/>
      <c r="F882" s="17"/>
      <c r="H882" s="16"/>
      <c r="J882" s="17"/>
      <c r="L882" s="16"/>
      <c r="N882" s="17"/>
      <c r="P882" s="16"/>
      <c r="R882" s="17"/>
      <c r="T882" s="16"/>
      <c r="V882" s="17"/>
      <c r="AH882" s="20"/>
      <c r="AI882" s="20"/>
      <c r="AJ882" s="36"/>
      <c r="AM882" s="22"/>
      <c r="AO882" s="34"/>
    </row>
    <row r="883">
      <c r="D883" s="16"/>
      <c r="F883" s="17"/>
      <c r="H883" s="16"/>
      <c r="J883" s="17"/>
      <c r="L883" s="16"/>
      <c r="N883" s="17"/>
      <c r="P883" s="16"/>
      <c r="R883" s="17"/>
      <c r="T883" s="16"/>
      <c r="V883" s="17"/>
      <c r="AH883" s="20"/>
      <c r="AI883" s="20"/>
      <c r="AJ883" s="36"/>
      <c r="AM883" s="22"/>
      <c r="AO883" s="34"/>
    </row>
    <row r="884">
      <c r="D884" s="16"/>
      <c r="F884" s="17"/>
      <c r="H884" s="16"/>
      <c r="J884" s="17"/>
      <c r="L884" s="16"/>
      <c r="N884" s="17"/>
      <c r="P884" s="16"/>
      <c r="R884" s="17"/>
      <c r="T884" s="16"/>
      <c r="V884" s="17"/>
      <c r="AH884" s="20"/>
      <c r="AI884" s="20"/>
      <c r="AJ884" s="36"/>
      <c r="AM884" s="22"/>
      <c r="AO884" s="34"/>
    </row>
    <row r="885">
      <c r="D885" s="16"/>
      <c r="F885" s="17"/>
      <c r="H885" s="16"/>
      <c r="J885" s="17"/>
      <c r="L885" s="16"/>
      <c r="N885" s="17"/>
      <c r="P885" s="16"/>
      <c r="R885" s="17"/>
      <c r="T885" s="16"/>
      <c r="V885" s="17"/>
      <c r="AH885" s="20"/>
      <c r="AI885" s="20"/>
      <c r="AJ885" s="36"/>
      <c r="AM885" s="22"/>
      <c r="AO885" s="34"/>
    </row>
    <row r="886">
      <c r="D886" s="16"/>
      <c r="F886" s="17"/>
      <c r="H886" s="16"/>
      <c r="J886" s="17"/>
      <c r="L886" s="16"/>
      <c r="N886" s="17"/>
      <c r="P886" s="16"/>
      <c r="R886" s="17"/>
      <c r="T886" s="16"/>
      <c r="V886" s="17"/>
      <c r="AH886" s="20"/>
      <c r="AI886" s="20"/>
      <c r="AJ886" s="36"/>
      <c r="AM886" s="22"/>
      <c r="AO886" s="34"/>
    </row>
    <row r="887">
      <c r="D887" s="16"/>
      <c r="F887" s="17"/>
      <c r="H887" s="16"/>
      <c r="J887" s="17"/>
      <c r="L887" s="16"/>
      <c r="N887" s="17"/>
      <c r="P887" s="16"/>
      <c r="R887" s="17"/>
      <c r="T887" s="16"/>
      <c r="V887" s="17"/>
      <c r="AH887" s="20"/>
      <c r="AI887" s="20"/>
      <c r="AJ887" s="36"/>
      <c r="AM887" s="22"/>
      <c r="AO887" s="34"/>
    </row>
    <row r="888">
      <c r="D888" s="16"/>
      <c r="F888" s="17"/>
      <c r="H888" s="16"/>
      <c r="J888" s="17"/>
      <c r="L888" s="16"/>
      <c r="N888" s="17"/>
      <c r="P888" s="16"/>
      <c r="R888" s="17"/>
      <c r="T888" s="16"/>
      <c r="V888" s="17"/>
      <c r="AH888" s="20"/>
      <c r="AI888" s="20"/>
      <c r="AJ888" s="36"/>
      <c r="AM888" s="22"/>
      <c r="AO888" s="34"/>
    </row>
    <row r="889">
      <c r="D889" s="16"/>
      <c r="F889" s="17"/>
      <c r="H889" s="16"/>
      <c r="J889" s="17"/>
      <c r="L889" s="16"/>
      <c r="N889" s="17"/>
      <c r="P889" s="16"/>
      <c r="R889" s="17"/>
      <c r="T889" s="16"/>
      <c r="V889" s="17"/>
      <c r="AH889" s="20"/>
      <c r="AI889" s="20"/>
      <c r="AJ889" s="36"/>
      <c r="AM889" s="22"/>
      <c r="AO889" s="34"/>
    </row>
    <row r="890">
      <c r="D890" s="16"/>
      <c r="F890" s="17"/>
      <c r="H890" s="16"/>
      <c r="J890" s="17"/>
      <c r="L890" s="16"/>
      <c r="N890" s="17"/>
      <c r="P890" s="16"/>
      <c r="R890" s="17"/>
      <c r="T890" s="16"/>
      <c r="V890" s="17"/>
      <c r="AH890" s="20"/>
      <c r="AI890" s="20"/>
      <c r="AJ890" s="36"/>
      <c r="AM890" s="22"/>
      <c r="AO890" s="34"/>
    </row>
    <row r="891">
      <c r="D891" s="16"/>
      <c r="F891" s="17"/>
      <c r="H891" s="16"/>
      <c r="J891" s="17"/>
      <c r="L891" s="16"/>
      <c r="N891" s="17"/>
      <c r="P891" s="16"/>
      <c r="R891" s="17"/>
      <c r="T891" s="16"/>
      <c r="V891" s="17"/>
      <c r="AH891" s="20"/>
      <c r="AI891" s="20"/>
      <c r="AJ891" s="36"/>
      <c r="AM891" s="22"/>
      <c r="AO891" s="34"/>
    </row>
    <row r="892">
      <c r="D892" s="16"/>
      <c r="F892" s="17"/>
      <c r="H892" s="16"/>
      <c r="J892" s="17"/>
      <c r="L892" s="16"/>
      <c r="N892" s="17"/>
      <c r="P892" s="16"/>
      <c r="R892" s="17"/>
      <c r="T892" s="16"/>
      <c r="V892" s="17"/>
      <c r="AH892" s="20"/>
      <c r="AI892" s="20"/>
      <c r="AJ892" s="36"/>
      <c r="AM892" s="22"/>
      <c r="AO892" s="34"/>
    </row>
    <row r="893">
      <c r="D893" s="16"/>
      <c r="F893" s="17"/>
      <c r="H893" s="16"/>
      <c r="J893" s="17"/>
      <c r="L893" s="16"/>
      <c r="N893" s="17"/>
      <c r="P893" s="16"/>
      <c r="R893" s="17"/>
      <c r="T893" s="16"/>
      <c r="V893" s="17"/>
      <c r="AH893" s="20"/>
      <c r="AI893" s="20"/>
      <c r="AJ893" s="36"/>
      <c r="AM893" s="22"/>
      <c r="AO893" s="34"/>
    </row>
    <row r="894">
      <c r="D894" s="16"/>
      <c r="F894" s="17"/>
      <c r="H894" s="16"/>
      <c r="J894" s="17"/>
      <c r="L894" s="16"/>
      <c r="N894" s="17"/>
      <c r="P894" s="16"/>
      <c r="R894" s="17"/>
      <c r="T894" s="16"/>
      <c r="V894" s="17"/>
      <c r="AH894" s="20"/>
      <c r="AI894" s="20"/>
      <c r="AJ894" s="36"/>
      <c r="AM894" s="22"/>
      <c r="AO894" s="34"/>
    </row>
    <row r="895">
      <c r="D895" s="16"/>
      <c r="F895" s="17"/>
      <c r="H895" s="16"/>
      <c r="J895" s="17"/>
      <c r="L895" s="16"/>
      <c r="N895" s="17"/>
      <c r="P895" s="16"/>
      <c r="R895" s="17"/>
      <c r="T895" s="16"/>
      <c r="V895" s="17"/>
      <c r="AH895" s="20"/>
      <c r="AI895" s="20"/>
      <c r="AJ895" s="36"/>
      <c r="AM895" s="22"/>
      <c r="AO895" s="34"/>
    </row>
    <row r="896">
      <c r="D896" s="16"/>
      <c r="F896" s="17"/>
      <c r="H896" s="16"/>
      <c r="J896" s="17"/>
      <c r="L896" s="16"/>
      <c r="N896" s="17"/>
      <c r="P896" s="16"/>
      <c r="R896" s="17"/>
      <c r="T896" s="16"/>
      <c r="V896" s="17"/>
      <c r="AH896" s="20"/>
      <c r="AI896" s="20"/>
      <c r="AJ896" s="36"/>
      <c r="AM896" s="22"/>
      <c r="AO896" s="34"/>
    </row>
    <row r="897">
      <c r="D897" s="16"/>
      <c r="F897" s="17"/>
      <c r="H897" s="16"/>
      <c r="J897" s="17"/>
      <c r="L897" s="16"/>
      <c r="N897" s="17"/>
      <c r="P897" s="16"/>
      <c r="R897" s="17"/>
      <c r="T897" s="16"/>
      <c r="V897" s="17"/>
      <c r="AH897" s="20"/>
      <c r="AI897" s="20"/>
      <c r="AJ897" s="36"/>
      <c r="AM897" s="22"/>
      <c r="AO897" s="34"/>
    </row>
    <row r="898">
      <c r="D898" s="16"/>
      <c r="F898" s="17"/>
      <c r="H898" s="16"/>
      <c r="J898" s="17"/>
      <c r="L898" s="16"/>
      <c r="N898" s="17"/>
      <c r="P898" s="16"/>
      <c r="R898" s="17"/>
      <c r="T898" s="16"/>
      <c r="V898" s="17"/>
      <c r="AH898" s="20"/>
      <c r="AI898" s="20"/>
      <c r="AJ898" s="36"/>
      <c r="AM898" s="22"/>
      <c r="AO898" s="34"/>
    </row>
    <row r="899">
      <c r="D899" s="16"/>
      <c r="F899" s="17"/>
      <c r="H899" s="16"/>
      <c r="J899" s="17"/>
      <c r="L899" s="16"/>
      <c r="N899" s="17"/>
      <c r="P899" s="16"/>
      <c r="R899" s="17"/>
      <c r="T899" s="16"/>
      <c r="V899" s="17"/>
      <c r="AH899" s="20"/>
      <c r="AI899" s="20"/>
      <c r="AJ899" s="36"/>
      <c r="AM899" s="22"/>
      <c r="AO899" s="34"/>
    </row>
    <row r="900">
      <c r="D900" s="16"/>
      <c r="F900" s="17"/>
      <c r="H900" s="16"/>
      <c r="J900" s="17"/>
      <c r="L900" s="16"/>
      <c r="N900" s="17"/>
      <c r="P900" s="16"/>
      <c r="R900" s="17"/>
      <c r="T900" s="16"/>
      <c r="V900" s="17"/>
      <c r="AH900" s="20"/>
      <c r="AI900" s="20"/>
      <c r="AJ900" s="36"/>
      <c r="AM900" s="22"/>
      <c r="AO900" s="34"/>
    </row>
    <row r="901">
      <c r="D901" s="16"/>
      <c r="F901" s="17"/>
      <c r="H901" s="16"/>
      <c r="J901" s="17"/>
      <c r="L901" s="16"/>
      <c r="N901" s="17"/>
      <c r="P901" s="16"/>
      <c r="R901" s="17"/>
      <c r="T901" s="16"/>
      <c r="V901" s="17"/>
      <c r="AH901" s="20"/>
      <c r="AI901" s="20"/>
      <c r="AJ901" s="36"/>
      <c r="AM901" s="22"/>
      <c r="AO901" s="34"/>
    </row>
    <row r="902">
      <c r="D902" s="16"/>
      <c r="F902" s="17"/>
      <c r="H902" s="16"/>
      <c r="J902" s="17"/>
      <c r="L902" s="16"/>
      <c r="N902" s="17"/>
      <c r="P902" s="16"/>
      <c r="R902" s="17"/>
      <c r="T902" s="16"/>
      <c r="V902" s="17"/>
      <c r="AH902" s="20"/>
      <c r="AI902" s="20"/>
      <c r="AJ902" s="36"/>
      <c r="AM902" s="22"/>
      <c r="AO902" s="34"/>
    </row>
    <row r="903">
      <c r="D903" s="16"/>
      <c r="F903" s="17"/>
      <c r="H903" s="16"/>
      <c r="J903" s="17"/>
      <c r="L903" s="16"/>
      <c r="N903" s="17"/>
      <c r="P903" s="16"/>
      <c r="R903" s="17"/>
      <c r="T903" s="16"/>
      <c r="V903" s="17"/>
      <c r="AH903" s="20"/>
      <c r="AI903" s="20"/>
      <c r="AJ903" s="36"/>
      <c r="AM903" s="22"/>
      <c r="AO903" s="34"/>
    </row>
    <row r="904">
      <c r="D904" s="16"/>
      <c r="F904" s="17"/>
      <c r="H904" s="16"/>
      <c r="J904" s="17"/>
      <c r="L904" s="16"/>
      <c r="N904" s="17"/>
      <c r="P904" s="16"/>
      <c r="R904" s="17"/>
      <c r="T904" s="16"/>
      <c r="V904" s="17"/>
      <c r="AH904" s="20"/>
      <c r="AI904" s="20"/>
      <c r="AJ904" s="36"/>
      <c r="AM904" s="22"/>
      <c r="AO904" s="34"/>
    </row>
    <row r="905">
      <c r="D905" s="16"/>
      <c r="F905" s="17"/>
      <c r="H905" s="16"/>
      <c r="J905" s="17"/>
      <c r="L905" s="16"/>
      <c r="N905" s="17"/>
      <c r="P905" s="16"/>
      <c r="R905" s="17"/>
      <c r="T905" s="16"/>
      <c r="V905" s="17"/>
      <c r="AH905" s="20"/>
      <c r="AI905" s="20"/>
      <c r="AJ905" s="36"/>
      <c r="AM905" s="22"/>
      <c r="AO905" s="34"/>
    </row>
    <row r="906">
      <c r="D906" s="16"/>
      <c r="F906" s="17"/>
      <c r="H906" s="16"/>
      <c r="J906" s="17"/>
      <c r="L906" s="16"/>
      <c r="N906" s="17"/>
      <c r="P906" s="16"/>
      <c r="R906" s="17"/>
      <c r="T906" s="16"/>
      <c r="V906" s="17"/>
      <c r="AH906" s="20"/>
      <c r="AI906" s="20"/>
      <c r="AJ906" s="36"/>
      <c r="AM906" s="22"/>
      <c r="AO906" s="34"/>
    </row>
    <row r="907">
      <c r="D907" s="16"/>
      <c r="F907" s="17"/>
      <c r="H907" s="16"/>
      <c r="J907" s="17"/>
      <c r="L907" s="16"/>
      <c r="N907" s="17"/>
      <c r="P907" s="16"/>
      <c r="R907" s="17"/>
      <c r="T907" s="16"/>
      <c r="V907" s="17"/>
      <c r="AH907" s="20"/>
      <c r="AI907" s="20"/>
      <c r="AJ907" s="36"/>
      <c r="AM907" s="22"/>
      <c r="AO907" s="34"/>
    </row>
    <row r="908">
      <c r="D908" s="16"/>
      <c r="F908" s="17"/>
      <c r="H908" s="16"/>
      <c r="J908" s="17"/>
      <c r="L908" s="16"/>
      <c r="N908" s="17"/>
      <c r="P908" s="16"/>
      <c r="R908" s="17"/>
      <c r="T908" s="16"/>
      <c r="V908" s="17"/>
      <c r="AH908" s="20"/>
      <c r="AI908" s="20"/>
      <c r="AJ908" s="36"/>
      <c r="AM908" s="22"/>
      <c r="AO908" s="34"/>
    </row>
    <row r="909">
      <c r="D909" s="16"/>
      <c r="F909" s="17"/>
      <c r="H909" s="16"/>
      <c r="J909" s="17"/>
      <c r="L909" s="16"/>
      <c r="N909" s="17"/>
      <c r="P909" s="16"/>
      <c r="R909" s="17"/>
      <c r="T909" s="16"/>
      <c r="V909" s="17"/>
      <c r="AH909" s="20"/>
      <c r="AI909" s="20"/>
      <c r="AJ909" s="36"/>
      <c r="AM909" s="22"/>
      <c r="AO909" s="34"/>
    </row>
    <row r="910">
      <c r="D910" s="16"/>
      <c r="F910" s="17"/>
      <c r="H910" s="16"/>
      <c r="J910" s="17"/>
      <c r="L910" s="16"/>
      <c r="N910" s="17"/>
      <c r="P910" s="16"/>
      <c r="R910" s="17"/>
      <c r="T910" s="16"/>
      <c r="V910" s="17"/>
      <c r="AH910" s="20"/>
      <c r="AI910" s="20"/>
      <c r="AJ910" s="36"/>
      <c r="AM910" s="22"/>
      <c r="AO910" s="34"/>
    </row>
    <row r="911">
      <c r="D911" s="16"/>
      <c r="F911" s="17"/>
      <c r="H911" s="16"/>
      <c r="J911" s="17"/>
      <c r="L911" s="16"/>
      <c r="N911" s="17"/>
      <c r="P911" s="16"/>
      <c r="R911" s="17"/>
      <c r="T911" s="16"/>
      <c r="V911" s="17"/>
      <c r="AH911" s="20"/>
      <c r="AI911" s="20"/>
      <c r="AJ911" s="36"/>
      <c r="AM911" s="22"/>
      <c r="AO911" s="34"/>
    </row>
    <row r="912">
      <c r="D912" s="16"/>
      <c r="F912" s="17"/>
      <c r="H912" s="16"/>
      <c r="J912" s="17"/>
      <c r="L912" s="16"/>
      <c r="N912" s="17"/>
      <c r="P912" s="16"/>
      <c r="R912" s="17"/>
      <c r="T912" s="16"/>
      <c r="V912" s="17"/>
      <c r="AH912" s="20"/>
      <c r="AI912" s="20"/>
      <c r="AJ912" s="36"/>
      <c r="AM912" s="22"/>
      <c r="AO912" s="34"/>
    </row>
    <row r="913">
      <c r="D913" s="16"/>
      <c r="F913" s="17"/>
      <c r="H913" s="16"/>
      <c r="J913" s="17"/>
      <c r="L913" s="16"/>
      <c r="N913" s="17"/>
      <c r="P913" s="16"/>
      <c r="R913" s="17"/>
      <c r="T913" s="16"/>
      <c r="V913" s="17"/>
      <c r="AH913" s="20"/>
      <c r="AI913" s="20"/>
      <c r="AJ913" s="36"/>
      <c r="AM913" s="22"/>
      <c r="AO913" s="34"/>
    </row>
    <row r="914">
      <c r="D914" s="16"/>
      <c r="F914" s="17"/>
      <c r="H914" s="16"/>
      <c r="J914" s="17"/>
      <c r="L914" s="16"/>
      <c r="N914" s="17"/>
      <c r="P914" s="16"/>
      <c r="R914" s="17"/>
      <c r="T914" s="16"/>
      <c r="V914" s="17"/>
      <c r="AH914" s="20"/>
      <c r="AI914" s="20"/>
      <c r="AJ914" s="36"/>
      <c r="AM914" s="22"/>
      <c r="AO914" s="34"/>
    </row>
    <row r="915">
      <c r="D915" s="16"/>
      <c r="F915" s="17"/>
      <c r="H915" s="16"/>
      <c r="J915" s="17"/>
      <c r="L915" s="16"/>
      <c r="N915" s="17"/>
      <c r="P915" s="16"/>
      <c r="R915" s="17"/>
      <c r="T915" s="16"/>
      <c r="V915" s="17"/>
      <c r="AH915" s="20"/>
      <c r="AI915" s="20"/>
      <c r="AJ915" s="36"/>
      <c r="AM915" s="22"/>
      <c r="AO915" s="34"/>
    </row>
    <row r="916">
      <c r="D916" s="16"/>
      <c r="F916" s="17"/>
      <c r="H916" s="16"/>
      <c r="J916" s="17"/>
      <c r="L916" s="16"/>
      <c r="N916" s="17"/>
      <c r="P916" s="16"/>
      <c r="R916" s="17"/>
      <c r="T916" s="16"/>
      <c r="V916" s="17"/>
      <c r="AH916" s="20"/>
      <c r="AI916" s="20"/>
      <c r="AJ916" s="36"/>
      <c r="AM916" s="22"/>
      <c r="AO916" s="34"/>
    </row>
    <row r="917">
      <c r="D917" s="16"/>
      <c r="F917" s="17"/>
      <c r="H917" s="16"/>
      <c r="J917" s="17"/>
      <c r="L917" s="16"/>
      <c r="N917" s="17"/>
      <c r="P917" s="16"/>
      <c r="R917" s="17"/>
      <c r="T917" s="16"/>
      <c r="V917" s="17"/>
      <c r="AH917" s="20"/>
      <c r="AI917" s="20"/>
      <c r="AJ917" s="36"/>
      <c r="AM917" s="22"/>
      <c r="AO917" s="34"/>
    </row>
    <row r="918">
      <c r="D918" s="16"/>
      <c r="F918" s="17"/>
      <c r="H918" s="16"/>
      <c r="J918" s="17"/>
      <c r="L918" s="16"/>
      <c r="N918" s="17"/>
      <c r="P918" s="16"/>
      <c r="R918" s="17"/>
      <c r="T918" s="16"/>
      <c r="V918" s="17"/>
      <c r="AH918" s="20"/>
      <c r="AI918" s="20"/>
      <c r="AJ918" s="36"/>
      <c r="AM918" s="22"/>
      <c r="AO918" s="34"/>
    </row>
    <row r="919">
      <c r="D919" s="16"/>
      <c r="F919" s="17"/>
      <c r="H919" s="16"/>
      <c r="J919" s="17"/>
      <c r="L919" s="16"/>
      <c r="N919" s="17"/>
      <c r="P919" s="16"/>
      <c r="R919" s="17"/>
      <c r="T919" s="16"/>
      <c r="V919" s="17"/>
      <c r="AH919" s="20"/>
      <c r="AI919" s="20"/>
      <c r="AJ919" s="36"/>
      <c r="AM919" s="22"/>
      <c r="AO919" s="34"/>
    </row>
    <row r="920">
      <c r="D920" s="16"/>
      <c r="F920" s="17"/>
      <c r="H920" s="16"/>
      <c r="J920" s="17"/>
      <c r="L920" s="16"/>
      <c r="N920" s="17"/>
      <c r="P920" s="16"/>
      <c r="R920" s="17"/>
      <c r="T920" s="16"/>
      <c r="V920" s="17"/>
      <c r="AH920" s="20"/>
      <c r="AI920" s="20"/>
      <c r="AJ920" s="36"/>
      <c r="AM920" s="22"/>
      <c r="AO920" s="34"/>
    </row>
    <row r="921">
      <c r="D921" s="16"/>
      <c r="F921" s="17"/>
      <c r="H921" s="16"/>
      <c r="J921" s="17"/>
      <c r="L921" s="16"/>
      <c r="N921" s="17"/>
      <c r="P921" s="16"/>
      <c r="R921" s="17"/>
      <c r="T921" s="16"/>
      <c r="V921" s="17"/>
      <c r="AH921" s="20"/>
      <c r="AI921" s="20"/>
      <c r="AJ921" s="36"/>
      <c r="AM921" s="22"/>
      <c r="AO921" s="34"/>
    </row>
    <row r="922">
      <c r="D922" s="16"/>
      <c r="F922" s="17"/>
      <c r="H922" s="16"/>
      <c r="J922" s="17"/>
      <c r="L922" s="16"/>
      <c r="N922" s="17"/>
      <c r="P922" s="16"/>
      <c r="R922" s="17"/>
      <c r="T922" s="16"/>
      <c r="V922" s="17"/>
      <c r="AH922" s="20"/>
      <c r="AI922" s="20"/>
      <c r="AJ922" s="36"/>
      <c r="AM922" s="22"/>
      <c r="AO922" s="34"/>
    </row>
    <row r="923">
      <c r="D923" s="16"/>
      <c r="F923" s="17"/>
      <c r="H923" s="16"/>
      <c r="J923" s="17"/>
      <c r="L923" s="16"/>
      <c r="N923" s="17"/>
      <c r="P923" s="16"/>
      <c r="R923" s="17"/>
      <c r="T923" s="16"/>
      <c r="V923" s="17"/>
      <c r="AH923" s="20"/>
      <c r="AI923" s="20"/>
      <c r="AJ923" s="36"/>
      <c r="AM923" s="22"/>
      <c r="AO923" s="34"/>
    </row>
    <row r="924">
      <c r="D924" s="16"/>
      <c r="F924" s="17"/>
      <c r="H924" s="16"/>
      <c r="J924" s="17"/>
      <c r="L924" s="16"/>
      <c r="N924" s="17"/>
      <c r="P924" s="16"/>
      <c r="R924" s="17"/>
      <c r="T924" s="16"/>
      <c r="V924" s="17"/>
      <c r="AH924" s="20"/>
      <c r="AI924" s="20"/>
      <c r="AJ924" s="36"/>
      <c r="AM924" s="22"/>
      <c r="AO924" s="34"/>
    </row>
    <row r="925">
      <c r="D925" s="16"/>
      <c r="F925" s="17"/>
      <c r="H925" s="16"/>
      <c r="J925" s="17"/>
      <c r="L925" s="16"/>
      <c r="N925" s="17"/>
      <c r="P925" s="16"/>
      <c r="R925" s="17"/>
      <c r="T925" s="16"/>
      <c r="V925" s="17"/>
      <c r="AH925" s="20"/>
      <c r="AI925" s="20"/>
      <c r="AJ925" s="36"/>
      <c r="AM925" s="22"/>
      <c r="AO925" s="34"/>
    </row>
    <row r="926">
      <c r="D926" s="16"/>
      <c r="F926" s="17"/>
      <c r="H926" s="16"/>
      <c r="J926" s="17"/>
      <c r="L926" s="16"/>
      <c r="N926" s="17"/>
      <c r="P926" s="16"/>
      <c r="R926" s="17"/>
      <c r="T926" s="16"/>
      <c r="V926" s="17"/>
      <c r="AH926" s="20"/>
      <c r="AI926" s="20"/>
      <c r="AJ926" s="36"/>
      <c r="AM926" s="22"/>
      <c r="AO926" s="34"/>
    </row>
    <row r="927">
      <c r="D927" s="16"/>
      <c r="F927" s="17"/>
      <c r="H927" s="16"/>
      <c r="J927" s="17"/>
      <c r="L927" s="16"/>
      <c r="N927" s="17"/>
      <c r="P927" s="16"/>
      <c r="R927" s="17"/>
      <c r="T927" s="16"/>
      <c r="V927" s="17"/>
      <c r="AH927" s="20"/>
      <c r="AI927" s="20"/>
      <c r="AJ927" s="36"/>
      <c r="AM927" s="22"/>
      <c r="AO927" s="34"/>
    </row>
    <row r="928">
      <c r="D928" s="16"/>
      <c r="F928" s="17"/>
      <c r="H928" s="16"/>
      <c r="J928" s="17"/>
      <c r="L928" s="16"/>
      <c r="N928" s="17"/>
      <c r="P928" s="16"/>
      <c r="R928" s="17"/>
      <c r="T928" s="16"/>
      <c r="V928" s="17"/>
      <c r="AH928" s="20"/>
      <c r="AI928" s="20"/>
      <c r="AJ928" s="36"/>
      <c r="AM928" s="22"/>
      <c r="AO928" s="34"/>
    </row>
    <row r="929">
      <c r="D929" s="16"/>
      <c r="F929" s="17"/>
      <c r="H929" s="16"/>
      <c r="J929" s="17"/>
      <c r="L929" s="16"/>
      <c r="N929" s="17"/>
      <c r="P929" s="16"/>
      <c r="R929" s="17"/>
      <c r="T929" s="16"/>
      <c r="V929" s="17"/>
      <c r="AH929" s="20"/>
      <c r="AI929" s="20"/>
      <c r="AJ929" s="36"/>
      <c r="AM929" s="22"/>
      <c r="AO929" s="34"/>
    </row>
    <row r="930">
      <c r="D930" s="16"/>
      <c r="F930" s="17"/>
      <c r="H930" s="16"/>
      <c r="J930" s="17"/>
      <c r="L930" s="16"/>
      <c r="N930" s="17"/>
      <c r="P930" s="16"/>
      <c r="R930" s="17"/>
      <c r="T930" s="16"/>
      <c r="V930" s="17"/>
      <c r="AH930" s="20"/>
      <c r="AI930" s="20"/>
      <c r="AJ930" s="36"/>
      <c r="AM930" s="22"/>
      <c r="AO930" s="34"/>
    </row>
    <row r="931">
      <c r="D931" s="16"/>
      <c r="F931" s="17"/>
      <c r="H931" s="16"/>
      <c r="J931" s="17"/>
      <c r="L931" s="16"/>
      <c r="N931" s="17"/>
      <c r="P931" s="16"/>
      <c r="R931" s="17"/>
      <c r="T931" s="16"/>
      <c r="V931" s="17"/>
      <c r="AH931" s="20"/>
      <c r="AI931" s="20"/>
      <c r="AJ931" s="36"/>
      <c r="AM931" s="22"/>
      <c r="AO931" s="34"/>
    </row>
    <row r="932">
      <c r="D932" s="16"/>
      <c r="F932" s="17"/>
      <c r="H932" s="16"/>
      <c r="J932" s="17"/>
      <c r="L932" s="16"/>
      <c r="N932" s="17"/>
      <c r="P932" s="16"/>
      <c r="R932" s="17"/>
      <c r="T932" s="16"/>
      <c r="V932" s="17"/>
      <c r="AH932" s="20"/>
      <c r="AI932" s="20"/>
      <c r="AJ932" s="36"/>
      <c r="AM932" s="22"/>
      <c r="AO932" s="34"/>
    </row>
    <row r="933">
      <c r="D933" s="16"/>
      <c r="F933" s="17"/>
      <c r="H933" s="16"/>
      <c r="J933" s="17"/>
      <c r="L933" s="16"/>
      <c r="N933" s="17"/>
      <c r="P933" s="16"/>
      <c r="R933" s="17"/>
      <c r="T933" s="16"/>
      <c r="V933" s="17"/>
      <c r="AH933" s="20"/>
      <c r="AI933" s="20"/>
      <c r="AJ933" s="36"/>
      <c r="AM933" s="22"/>
      <c r="AO933" s="34"/>
    </row>
    <row r="934">
      <c r="D934" s="16"/>
      <c r="F934" s="17"/>
      <c r="H934" s="16"/>
      <c r="J934" s="17"/>
      <c r="L934" s="16"/>
      <c r="N934" s="17"/>
      <c r="P934" s="16"/>
      <c r="R934" s="17"/>
      <c r="T934" s="16"/>
      <c r="V934" s="17"/>
      <c r="AH934" s="20"/>
      <c r="AI934" s="20"/>
      <c r="AJ934" s="36"/>
      <c r="AM934" s="22"/>
      <c r="AO934" s="34"/>
    </row>
    <row r="935">
      <c r="D935" s="16"/>
      <c r="F935" s="17"/>
      <c r="H935" s="16"/>
      <c r="J935" s="17"/>
      <c r="L935" s="16"/>
      <c r="N935" s="17"/>
      <c r="P935" s="16"/>
      <c r="R935" s="17"/>
      <c r="T935" s="16"/>
      <c r="V935" s="17"/>
      <c r="AH935" s="20"/>
      <c r="AI935" s="20"/>
      <c r="AJ935" s="36"/>
      <c r="AM935" s="22"/>
      <c r="AO935" s="34"/>
    </row>
    <row r="936">
      <c r="D936" s="16"/>
      <c r="F936" s="17"/>
      <c r="H936" s="16"/>
      <c r="J936" s="17"/>
      <c r="L936" s="16"/>
      <c r="N936" s="17"/>
      <c r="P936" s="16"/>
      <c r="R936" s="17"/>
      <c r="T936" s="16"/>
      <c r="V936" s="17"/>
      <c r="AH936" s="20"/>
      <c r="AI936" s="20"/>
      <c r="AJ936" s="36"/>
      <c r="AM936" s="22"/>
      <c r="AO936" s="34"/>
    </row>
    <row r="937">
      <c r="D937" s="16"/>
      <c r="F937" s="17"/>
      <c r="H937" s="16"/>
      <c r="J937" s="17"/>
      <c r="L937" s="16"/>
      <c r="N937" s="17"/>
      <c r="P937" s="16"/>
      <c r="R937" s="17"/>
      <c r="T937" s="16"/>
      <c r="V937" s="17"/>
      <c r="AH937" s="20"/>
      <c r="AI937" s="20"/>
      <c r="AJ937" s="36"/>
      <c r="AM937" s="22"/>
      <c r="AO937" s="34"/>
    </row>
    <row r="938">
      <c r="D938" s="16"/>
      <c r="F938" s="17"/>
      <c r="H938" s="16"/>
      <c r="J938" s="17"/>
      <c r="L938" s="16"/>
      <c r="N938" s="17"/>
      <c r="P938" s="16"/>
      <c r="R938" s="17"/>
      <c r="T938" s="16"/>
      <c r="V938" s="17"/>
      <c r="AH938" s="20"/>
      <c r="AI938" s="20"/>
      <c r="AJ938" s="36"/>
      <c r="AM938" s="22"/>
      <c r="AO938" s="34"/>
    </row>
    <row r="939">
      <c r="D939" s="16"/>
      <c r="F939" s="17"/>
      <c r="H939" s="16"/>
      <c r="J939" s="17"/>
      <c r="L939" s="16"/>
      <c r="N939" s="17"/>
      <c r="P939" s="16"/>
      <c r="R939" s="17"/>
      <c r="T939" s="16"/>
      <c r="V939" s="17"/>
      <c r="AH939" s="20"/>
      <c r="AI939" s="20"/>
      <c r="AJ939" s="36"/>
      <c r="AM939" s="22"/>
      <c r="AO939" s="34"/>
    </row>
    <row r="940">
      <c r="D940" s="16"/>
      <c r="F940" s="17"/>
      <c r="H940" s="16"/>
      <c r="J940" s="17"/>
      <c r="L940" s="16"/>
      <c r="N940" s="17"/>
      <c r="P940" s="16"/>
      <c r="R940" s="17"/>
      <c r="T940" s="16"/>
      <c r="V940" s="17"/>
      <c r="AH940" s="20"/>
      <c r="AI940" s="20"/>
      <c r="AJ940" s="36"/>
      <c r="AM940" s="22"/>
      <c r="AO940" s="34"/>
    </row>
    <row r="941">
      <c r="D941" s="16"/>
      <c r="F941" s="17"/>
      <c r="H941" s="16"/>
      <c r="J941" s="17"/>
      <c r="L941" s="16"/>
      <c r="N941" s="17"/>
      <c r="P941" s="16"/>
      <c r="R941" s="17"/>
      <c r="T941" s="16"/>
      <c r="V941" s="17"/>
      <c r="AH941" s="20"/>
      <c r="AI941" s="20"/>
      <c r="AJ941" s="36"/>
      <c r="AM941" s="22"/>
      <c r="AO941" s="34"/>
    </row>
    <row r="942">
      <c r="D942" s="16"/>
      <c r="F942" s="17"/>
      <c r="H942" s="16"/>
      <c r="J942" s="17"/>
      <c r="L942" s="16"/>
      <c r="N942" s="17"/>
      <c r="P942" s="16"/>
      <c r="R942" s="17"/>
      <c r="T942" s="16"/>
      <c r="V942" s="17"/>
      <c r="AH942" s="20"/>
      <c r="AI942" s="20"/>
      <c r="AJ942" s="36"/>
      <c r="AM942" s="22"/>
      <c r="AO942" s="34"/>
    </row>
    <row r="943">
      <c r="D943" s="16"/>
      <c r="F943" s="17"/>
      <c r="H943" s="16"/>
      <c r="J943" s="17"/>
      <c r="L943" s="16"/>
      <c r="N943" s="17"/>
      <c r="P943" s="16"/>
      <c r="R943" s="17"/>
      <c r="T943" s="16"/>
      <c r="V943" s="17"/>
      <c r="AH943" s="20"/>
      <c r="AI943" s="20"/>
      <c r="AJ943" s="36"/>
      <c r="AM943" s="22"/>
      <c r="AO943" s="34"/>
    </row>
    <row r="944">
      <c r="D944" s="16"/>
      <c r="F944" s="17"/>
      <c r="H944" s="16"/>
      <c r="J944" s="17"/>
      <c r="L944" s="16"/>
      <c r="N944" s="17"/>
      <c r="P944" s="16"/>
      <c r="R944" s="17"/>
      <c r="T944" s="16"/>
      <c r="V944" s="17"/>
      <c r="AH944" s="20"/>
      <c r="AI944" s="20"/>
      <c r="AJ944" s="36"/>
      <c r="AM944" s="22"/>
      <c r="AO944" s="34"/>
    </row>
    <row r="945">
      <c r="D945" s="16"/>
      <c r="F945" s="17"/>
      <c r="H945" s="16"/>
      <c r="J945" s="17"/>
      <c r="L945" s="16"/>
      <c r="N945" s="17"/>
      <c r="P945" s="16"/>
      <c r="R945" s="17"/>
      <c r="T945" s="16"/>
      <c r="V945" s="17"/>
      <c r="AH945" s="20"/>
      <c r="AI945" s="20"/>
      <c r="AJ945" s="36"/>
      <c r="AM945" s="22"/>
      <c r="AO945" s="34"/>
    </row>
    <row r="946">
      <c r="D946" s="16"/>
      <c r="F946" s="17"/>
      <c r="H946" s="16"/>
      <c r="J946" s="17"/>
      <c r="L946" s="16"/>
      <c r="N946" s="17"/>
      <c r="P946" s="16"/>
      <c r="R946" s="17"/>
      <c r="T946" s="16"/>
      <c r="V946" s="17"/>
      <c r="AH946" s="20"/>
      <c r="AI946" s="20"/>
      <c r="AJ946" s="36"/>
      <c r="AM946" s="22"/>
      <c r="AO946" s="34"/>
    </row>
    <row r="947">
      <c r="D947" s="16"/>
      <c r="F947" s="17"/>
      <c r="H947" s="16"/>
      <c r="J947" s="17"/>
      <c r="L947" s="16"/>
      <c r="N947" s="17"/>
      <c r="P947" s="16"/>
      <c r="R947" s="17"/>
      <c r="T947" s="16"/>
      <c r="V947" s="17"/>
      <c r="AH947" s="20"/>
      <c r="AI947" s="20"/>
      <c r="AJ947" s="36"/>
      <c r="AM947" s="22"/>
      <c r="AO947" s="34"/>
    </row>
    <row r="948">
      <c r="D948" s="16"/>
      <c r="F948" s="17"/>
      <c r="H948" s="16"/>
      <c r="J948" s="17"/>
      <c r="L948" s="16"/>
      <c r="N948" s="17"/>
      <c r="P948" s="16"/>
      <c r="R948" s="17"/>
      <c r="T948" s="16"/>
      <c r="V948" s="17"/>
      <c r="AH948" s="20"/>
      <c r="AI948" s="20"/>
      <c r="AJ948" s="36"/>
      <c r="AM948" s="22"/>
      <c r="AO948" s="34"/>
    </row>
    <row r="949">
      <c r="D949" s="16"/>
      <c r="F949" s="17"/>
      <c r="H949" s="16"/>
      <c r="J949" s="17"/>
      <c r="L949" s="16"/>
      <c r="N949" s="17"/>
      <c r="P949" s="16"/>
      <c r="R949" s="17"/>
      <c r="T949" s="16"/>
      <c r="V949" s="17"/>
      <c r="AH949" s="20"/>
      <c r="AI949" s="20"/>
      <c r="AJ949" s="36"/>
      <c r="AM949" s="22"/>
      <c r="AO949" s="34"/>
    </row>
    <row r="950">
      <c r="D950" s="16"/>
      <c r="F950" s="17"/>
      <c r="H950" s="16"/>
      <c r="J950" s="17"/>
      <c r="L950" s="16"/>
      <c r="N950" s="17"/>
      <c r="P950" s="16"/>
      <c r="R950" s="17"/>
      <c r="T950" s="16"/>
      <c r="V950" s="17"/>
      <c r="AH950" s="20"/>
      <c r="AI950" s="20"/>
      <c r="AJ950" s="36"/>
      <c r="AM950" s="22"/>
      <c r="AO950" s="34"/>
    </row>
    <row r="951">
      <c r="D951" s="16"/>
      <c r="F951" s="17"/>
      <c r="H951" s="16"/>
      <c r="J951" s="17"/>
      <c r="L951" s="16"/>
      <c r="N951" s="17"/>
      <c r="P951" s="16"/>
      <c r="R951" s="17"/>
      <c r="T951" s="16"/>
      <c r="V951" s="17"/>
      <c r="AH951" s="20"/>
      <c r="AI951" s="20"/>
      <c r="AJ951" s="36"/>
      <c r="AM951" s="22"/>
      <c r="AO951" s="34"/>
    </row>
    <row r="952">
      <c r="D952" s="16"/>
      <c r="F952" s="17"/>
      <c r="H952" s="16"/>
      <c r="J952" s="17"/>
      <c r="L952" s="16"/>
      <c r="N952" s="17"/>
      <c r="P952" s="16"/>
      <c r="R952" s="17"/>
      <c r="T952" s="16"/>
      <c r="V952" s="17"/>
      <c r="AH952" s="20"/>
      <c r="AI952" s="20"/>
      <c r="AJ952" s="36"/>
      <c r="AM952" s="22"/>
      <c r="AO952" s="34"/>
    </row>
    <row r="953">
      <c r="D953" s="16"/>
      <c r="F953" s="17"/>
      <c r="H953" s="16"/>
      <c r="J953" s="17"/>
      <c r="L953" s="16"/>
      <c r="N953" s="17"/>
      <c r="P953" s="16"/>
      <c r="R953" s="17"/>
      <c r="T953" s="16"/>
      <c r="V953" s="17"/>
      <c r="AH953" s="20"/>
      <c r="AI953" s="20"/>
      <c r="AJ953" s="36"/>
      <c r="AM953" s="22"/>
      <c r="AO953" s="34"/>
    </row>
    <row r="954">
      <c r="D954" s="16"/>
      <c r="F954" s="17"/>
      <c r="H954" s="16"/>
      <c r="J954" s="17"/>
      <c r="L954" s="16"/>
      <c r="N954" s="17"/>
      <c r="P954" s="16"/>
      <c r="R954" s="17"/>
      <c r="T954" s="16"/>
      <c r="V954" s="17"/>
      <c r="AH954" s="20"/>
      <c r="AI954" s="20"/>
      <c r="AJ954" s="36"/>
      <c r="AM954" s="22"/>
      <c r="AO954" s="34"/>
    </row>
    <row r="955">
      <c r="D955" s="16"/>
      <c r="F955" s="17"/>
      <c r="H955" s="16"/>
      <c r="J955" s="17"/>
      <c r="L955" s="16"/>
      <c r="N955" s="17"/>
      <c r="P955" s="16"/>
      <c r="R955" s="17"/>
      <c r="T955" s="16"/>
      <c r="V955" s="17"/>
      <c r="AH955" s="20"/>
      <c r="AI955" s="20"/>
      <c r="AJ955" s="36"/>
      <c r="AM955" s="22"/>
      <c r="AO955" s="34"/>
    </row>
    <row r="956">
      <c r="D956" s="16"/>
      <c r="F956" s="17"/>
      <c r="H956" s="16"/>
      <c r="J956" s="17"/>
      <c r="L956" s="16"/>
      <c r="N956" s="17"/>
      <c r="P956" s="16"/>
      <c r="R956" s="17"/>
      <c r="T956" s="16"/>
      <c r="V956" s="17"/>
      <c r="AH956" s="20"/>
      <c r="AI956" s="20"/>
      <c r="AJ956" s="36"/>
      <c r="AM956" s="22"/>
      <c r="AO956" s="34"/>
    </row>
    <row r="957">
      <c r="D957" s="16"/>
      <c r="F957" s="17"/>
      <c r="H957" s="16"/>
      <c r="J957" s="17"/>
      <c r="L957" s="16"/>
      <c r="N957" s="17"/>
      <c r="P957" s="16"/>
      <c r="R957" s="17"/>
      <c r="T957" s="16"/>
      <c r="V957" s="17"/>
      <c r="AH957" s="20"/>
      <c r="AI957" s="20"/>
      <c r="AJ957" s="36"/>
      <c r="AM957" s="22"/>
      <c r="AO957" s="34"/>
    </row>
    <row r="958">
      <c r="D958" s="16"/>
      <c r="F958" s="17"/>
      <c r="H958" s="16"/>
      <c r="J958" s="17"/>
      <c r="L958" s="16"/>
      <c r="N958" s="17"/>
      <c r="P958" s="16"/>
      <c r="R958" s="17"/>
      <c r="T958" s="16"/>
      <c r="V958" s="17"/>
      <c r="AH958" s="20"/>
      <c r="AI958" s="20"/>
      <c r="AJ958" s="36"/>
      <c r="AM958" s="22"/>
      <c r="AO958" s="34"/>
    </row>
    <row r="959">
      <c r="D959" s="16"/>
      <c r="F959" s="17"/>
      <c r="H959" s="16"/>
      <c r="J959" s="17"/>
      <c r="L959" s="16"/>
      <c r="N959" s="17"/>
      <c r="P959" s="16"/>
      <c r="R959" s="17"/>
      <c r="T959" s="16"/>
      <c r="V959" s="17"/>
      <c r="AH959" s="20"/>
      <c r="AI959" s="20"/>
      <c r="AJ959" s="36"/>
      <c r="AM959" s="22"/>
      <c r="AO959" s="34"/>
    </row>
    <row r="960">
      <c r="D960" s="16"/>
      <c r="F960" s="17"/>
      <c r="H960" s="16"/>
      <c r="J960" s="17"/>
      <c r="L960" s="16"/>
      <c r="N960" s="17"/>
      <c r="P960" s="16"/>
      <c r="R960" s="17"/>
      <c r="T960" s="16"/>
      <c r="V960" s="17"/>
      <c r="AH960" s="20"/>
      <c r="AI960" s="20"/>
      <c r="AJ960" s="36"/>
      <c r="AM960" s="22"/>
      <c r="AO960" s="34"/>
    </row>
    <row r="961">
      <c r="D961" s="16"/>
      <c r="F961" s="17"/>
      <c r="H961" s="16"/>
      <c r="J961" s="17"/>
      <c r="L961" s="16"/>
      <c r="N961" s="17"/>
      <c r="P961" s="16"/>
      <c r="R961" s="17"/>
      <c r="T961" s="16"/>
      <c r="V961" s="17"/>
      <c r="AH961" s="20"/>
      <c r="AI961" s="20"/>
      <c r="AJ961" s="36"/>
      <c r="AM961" s="22"/>
      <c r="AO961" s="34"/>
    </row>
    <row r="962">
      <c r="D962" s="16"/>
      <c r="F962" s="17"/>
      <c r="H962" s="16"/>
      <c r="J962" s="17"/>
      <c r="L962" s="16"/>
      <c r="N962" s="17"/>
      <c r="P962" s="16"/>
      <c r="R962" s="17"/>
      <c r="T962" s="16"/>
      <c r="V962" s="17"/>
      <c r="AH962" s="20"/>
      <c r="AI962" s="20"/>
      <c r="AJ962" s="36"/>
      <c r="AM962" s="22"/>
      <c r="AO962" s="34"/>
    </row>
    <row r="963">
      <c r="D963" s="16"/>
      <c r="F963" s="17"/>
      <c r="H963" s="16"/>
      <c r="J963" s="17"/>
      <c r="L963" s="16"/>
      <c r="N963" s="17"/>
      <c r="P963" s="16"/>
      <c r="R963" s="17"/>
      <c r="T963" s="16"/>
      <c r="V963" s="17"/>
      <c r="AH963" s="20"/>
      <c r="AI963" s="20"/>
      <c r="AJ963" s="36"/>
      <c r="AM963" s="22"/>
      <c r="AO963" s="34"/>
    </row>
    <row r="964">
      <c r="D964" s="16"/>
      <c r="F964" s="17"/>
      <c r="H964" s="16"/>
      <c r="J964" s="17"/>
      <c r="L964" s="16"/>
      <c r="N964" s="17"/>
      <c r="P964" s="16"/>
      <c r="R964" s="17"/>
      <c r="T964" s="16"/>
      <c r="V964" s="17"/>
      <c r="AH964" s="20"/>
      <c r="AI964" s="20"/>
      <c r="AJ964" s="36"/>
      <c r="AM964" s="22"/>
      <c r="AO964" s="34"/>
    </row>
    <row r="965">
      <c r="D965" s="16"/>
      <c r="F965" s="17"/>
      <c r="H965" s="16"/>
      <c r="J965" s="17"/>
      <c r="L965" s="16"/>
      <c r="N965" s="17"/>
      <c r="P965" s="16"/>
      <c r="R965" s="17"/>
      <c r="T965" s="16"/>
      <c r="V965" s="17"/>
      <c r="AH965" s="20"/>
      <c r="AI965" s="20"/>
      <c r="AJ965" s="36"/>
      <c r="AM965" s="22"/>
      <c r="AO965" s="34"/>
    </row>
    <row r="966">
      <c r="D966" s="16"/>
      <c r="F966" s="17"/>
      <c r="H966" s="16"/>
      <c r="J966" s="17"/>
      <c r="L966" s="16"/>
      <c r="N966" s="17"/>
      <c r="P966" s="16"/>
      <c r="R966" s="17"/>
      <c r="T966" s="16"/>
      <c r="V966" s="17"/>
      <c r="AH966" s="20"/>
      <c r="AI966" s="20"/>
      <c r="AJ966" s="36"/>
      <c r="AM966" s="22"/>
      <c r="AO966" s="34"/>
    </row>
    <row r="967">
      <c r="D967" s="16"/>
      <c r="F967" s="17"/>
      <c r="H967" s="16"/>
      <c r="J967" s="17"/>
      <c r="L967" s="16"/>
      <c r="N967" s="17"/>
      <c r="P967" s="16"/>
      <c r="R967" s="17"/>
      <c r="T967" s="16"/>
      <c r="V967" s="17"/>
      <c r="AH967" s="20"/>
      <c r="AI967" s="20"/>
      <c r="AJ967" s="36"/>
      <c r="AM967" s="22"/>
      <c r="AO967" s="34"/>
    </row>
    <row r="968">
      <c r="D968" s="16"/>
      <c r="F968" s="17"/>
      <c r="H968" s="16"/>
      <c r="J968" s="17"/>
      <c r="L968" s="16"/>
      <c r="N968" s="17"/>
      <c r="P968" s="16"/>
      <c r="R968" s="17"/>
      <c r="T968" s="16"/>
      <c r="V968" s="17"/>
      <c r="AH968" s="20"/>
      <c r="AI968" s="20"/>
      <c r="AJ968" s="36"/>
      <c r="AM968" s="22"/>
      <c r="AO968" s="34"/>
    </row>
    <row r="969">
      <c r="D969" s="16"/>
      <c r="F969" s="17"/>
      <c r="H969" s="16"/>
      <c r="J969" s="17"/>
      <c r="L969" s="16"/>
      <c r="N969" s="17"/>
      <c r="P969" s="16"/>
      <c r="R969" s="17"/>
      <c r="T969" s="16"/>
      <c r="V969" s="17"/>
      <c r="AH969" s="20"/>
      <c r="AI969" s="20"/>
      <c r="AJ969" s="36"/>
      <c r="AM969" s="22"/>
      <c r="AO969" s="34"/>
    </row>
    <row r="970">
      <c r="D970" s="16"/>
      <c r="F970" s="17"/>
      <c r="H970" s="16"/>
      <c r="J970" s="17"/>
      <c r="L970" s="16"/>
      <c r="N970" s="17"/>
      <c r="P970" s="16"/>
      <c r="R970" s="17"/>
      <c r="T970" s="16"/>
      <c r="V970" s="17"/>
      <c r="AH970" s="20"/>
      <c r="AI970" s="20"/>
      <c r="AJ970" s="36"/>
      <c r="AM970" s="22"/>
      <c r="AO970" s="34"/>
    </row>
    <row r="971">
      <c r="D971" s="16"/>
      <c r="F971" s="17"/>
      <c r="H971" s="16"/>
      <c r="J971" s="17"/>
      <c r="L971" s="16"/>
      <c r="N971" s="17"/>
      <c r="P971" s="16"/>
      <c r="R971" s="17"/>
      <c r="T971" s="16"/>
      <c r="V971" s="17"/>
      <c r="AH971" s="20"/>
      <c r="AI971" s="20"/>
      <c r="AJ971" s="36"/>
      <c r="AM971" s="22"/>
      <c r="AO971" s="34"/>
    </row>
    <row r="972">
      <c r="D972" s="16"/>
      <c r="F972" s="17"/>
      <c r="H972" s="16"/>
      <c r="J972" s="17"/>
      <c r="L972" s="16"/>
      <c r="N972" s="17"/>
      <c r="P972" s="16"/>
      <c r="R972" s="17"/>
      <c r="T972" s="16"/>
      <c r="V972" s="17"/>
      <c r="AH972" s="20"/>
      <c r="AI972" s="20"/>
      <c r="AJ972" s="36"/>
      <c r="AM972" s="22"/>
      <c r="AO972" s="34"/>
    </row>
    <row r="973">
      <c r="D973" s="16"/>
      <c r="F973" s="17"/>
      <c r="H973" s="16"/>
      <c r="J973" s="17"/>
      <c r="L973" s="16"/>
      <c r="N973" s="17"/>
      <c r="P973" s="16"/>
      <c r="R973" s="17"/>
      <c r="T973" s="16"/>
      <c r="V973" s="17"/>
      <c r="AH973" s="20"/>
      <c r="AI973" s="20"/>
      <c r="AJ973" s="36"/>
      <c r="AM973" s="22"/>
      <c r="AO973" s="34"/>
    </row>
    <row r="974">
      <c r="D974" s="16"/>
      <c r="F974" s="17"/>
      <c r="H974" s="16"/>
      <c r="J974" s="17"/>
      <c r="L974" s="16"/>
      <c r="N974" s="17"/>
      <c r="P974" s="16"/>
      <c r="R974" s="17"/>
      <c r="T974" s="16"/>
      <c r="V974" s="17"/>
      <c r="AH974" s="20"/>
      <c r="AI974" s="20"/>
      <c r="AJ974" s="36"/>
      <c r="AM974" s="22"/>
      <c r="AO974" s="34"/>
    </row>
    <row r="975">
      <c r="D975" s="16"/>
      <c r="F975" s="17"/>
      <c r="H975" s="16"/>
      <c r="J975" s="17"/>
      <c r="L975" s="16"/>
      <c r="N975" s="17"/>
      <c r="P975" s="16"/>
      <c r="R975" s="17"/>
      <c r="T975" s="16"/>
      <c r="V975" s="17"/>
      <c r="AH975" s="20"/>
      <c r="AI975" s="20"/>
      <c r="AJ975" s="36"/>
      <c r="AM975" s="22"/>
      <c r="AO975" s="34"/>
    </row>
    <row r="976">
      <c r="D976" s="16"/>
      <c r="F976" s="17"/>
      <c r="H976" s="16"/>
      <c r="J976" s="17"/>
      <c r="L976" s="16"/>
      <c r="N976" s="17"/>
      <c r="P976" s="16"/>
      <c r="R976" s="17"/>
      <c r="T976" s="16"/>
      <c r="V976" s="17"/>
      <c r="AH976" s="20"/>
      <c r="AI976" s="20"/>
      <c r="AJ976" s="36"/>
      <c r="AM976" s="22"/>
      <c r="AO976" s="34"/>
    </row>
    <row r="977">
      <c r="D977" s="16"/>
      <c r="F977" s="17"/>
      <c r="H977" s="16"/>
      <c r="J977" s="17"/>
      <c r="L977" s="16"/>
      <c r="N977" s="17"/>
      <c r="P977" s="16"/>
      <c r="R977" s="17"/>
      <c r="T977" s="16"/>
      <c r="V977" s="17"/>
      <c r="AH977" s="20"/>
      <c r="AI977" s="20"/>
      <c r="AJ977" s="36"/>
      <c r="AM977" s="22"/>
      <c r="AO977" s="34"/>
    </row>
    <row r="978">
      <c r="D978" s="16"/>
      <c r="F978" s="17"/>
      <c r="H978" s="16"/>
      <c r="J978" s="17"/>
      <c r="L978" s="16"/>
      <c r="N978" s="17"/>
      <c r="P978" s="16"/>
      <c r="R978" s="17"/>
      <c r="T978" s="16"/>
      <c r="V978" s="17"/>
      <c r="AH978" s="20"/>
      <c r="AI978" s="20"/>
      <c r="AJ978" s="36"/>
      <c r="AM978" s="22"/>
      <c r="AO978" s="34"/>
    </row>
    <row r="979">
      <c r="D979" s="16"/>
      <c r="F979" s="17"/>
      <c r="H979" s="16"/>
      <c r="J979" s="17"/>
      <c r="L979" s="16"/>
      <c r="N979" s="17"/>
      <c r="P979" s="16"/>
      <c r="R979" s="17"/>
      <c r="T979" s="16"/>
      <c r="V979" s="17"/>
      <c r="AH979" s="20"/>
      <c r="AI979" s="20"/>
      <c r="AJ979" s="36"/>
      <c r="AM979" s="22"/>
      <c r="AO979" s="34"/>
    </row>
    <row r="980">
      <c r="D980" s="16"/>
      <c r="F980" s="17"/>
      <c r="H980" s="16"/>
      <c r="J980" s="17"/>
      <c r="L980" s="16"/>
      <c r="N980" s="17"/>
      <c r="P980" s="16"/>
      <c r="R980" s="17"/>
      <c r="T980" s="16"/>
      <c r="V980" s="17"/>
      <c r="AH980" s="20"/>
      <c r="AI980" s="20"/>
      <c r="AJ980" s="36"/>
      <c r="AM980" s="22"/>
      <c r="AO980" s="34"/>
    </row>
    <row r="981">
      <c r="D981" s="16"/>
      <c r="F981" s="17"/>
      <c r="H981" s="16"/>
      <c r="J981" s="17"/>
      <c r="L981" s="16"/>
      <c r="N981" s="17"/>
      <c r="P981" s="16"/>
      <c r="R981" s="17"/>
      <c r="T981" s="16"/>
      <c r="V981" s="17"/>
      <c r="AH981" s="20"/>
      <c r="AI981" s="20"/>
      <c r="AJ981" s="36"/>
      <c r="AM981" s="22"/>
      <c r="AO981" s="34"/>
    </row>
    <row r="982">
      <c r="D982" s="16"/>
      <c r="F982" s="17"/>
      <c r="H982" s="16"/>
      <c r="J982" s="17"/>
      <c r="L982" s="16"/>
      <c r="N982" s="17"/>
      <c r="P982" s="16"/>
      <c r="R982" s="17"/>
      <c r="T982" s="16"/>
      <c r="V982" s="17"/>
      <c r="AH982" s="20"/>
      <c r="AI982" s="20"/>
      <c r="AJ982" s="36"/>
      <c r="AM982" s="22"/>
      <c r="AO982" s="34"/>
    </row>
    <row r="983">
      <c r="D983" s="16"/>
      <c r="F983" s="17"/>
      <c r="H983" s="16"/>
      <c r="J983" s="17"/>
      <c r="L983" s="16"/>
      <c r="N983" s="17"/>
      <c r="P983" s="16"/>
      <c r="R983" s="17"/>
      <c r="T983" s="16"/>
      <c r="V983" s="17"/>
      <c r="AH983" s="20"/>
      <c r="AI983" s="20"/>
      <c r="AJ983" s="36"/>
      <c r="AM983" s="22"/>
      <c r="AO983" s="34"/>
    </row>
    <row r="984">
      <c r="D984" s="16"/>
      <c r="F984" s="17"/>
      <c r="H984" s="16"/>
      <c r="J984" s="17"/>
      <c r="L984" s="16"/>
      <c r="N984" s="17"/>
      <c r="P984" s="16"/>
      <c r="R984" s="17"/>
      <c r="T984" s="16"/>
      <c r="V984" s="17"/>
      <c r="AH984" s="20"/>
      <c r="AI984" s="20"/>
      <c r="AJ984" s="36"/>
      <c r="AM984" s="22"/>
      <c r="AO984" s="34"/>
    </row>
    <row r="985">
      <c r="D985" s="16"/>
      <c r="F985" s="17"/>
      <c r="H985" s="16"/>
      <c r="J985" s="17"/>
      <c r="L985" s="16"/>
      <c r="N985" s="17"/>
      <c r="P985" s="16"/>
      <c r="R985" s="17"/>
      <c r="T985" s="16"/>
      <c r="V985" s="17"/>
      <c r="AH985" s="20"/>
      <c r="AI985" s="20"/>
      <c r="AJ985" s="36"/>
      <c r="AM985" s="22"/>
      <c r="AO985" s="34"/>
    </row>
    <row r="986">
      <c r="D986" s="16"/>
      <c r="F986" s="17"/>
      <c r="H986" s="16"/>
      <c r="J986" s="17"/>
      <c r="L986" s="16"/>
      <c r="N986" s="17"/>
      <c r="P986" s="16"/>
      <c r="R986" s="17"/>
      <c r="T986" s="16"/>
      <c r="V986" s="17"/>
      <c r="AH986" s="20"/>
      <c r="AI986" s="20"/>
      <c r="AJ986" s="36"/>
      <c r="AM986" s="22"/>
      <c r="AO986" s="34"/>
    </row>
    <row r="987">
      <c r="D987" s="16"/>
      <c r="F987" s="17"/>
      <c r="H987" s="16"/>
      <c r="J987" s="17"/>
      <c r="L987" s="16"/>
      <c r="N987" s="17"/>
      <c r="P987" s="16"/>
      <c r="R987" s="17"/>
      <c r="T987" s="16"/>
      <c r="V987" s="17"/>
      <c r="AH987" s="20"/>
      <c r="AI987" s="20"/>
      <c r="AJ987" s="36"/>
      <c r="AM987" s="22"/>
      <c r="AO987" s="34"/>
    </row>
    <row r="988">
      <c r="D988" s="16"/>
      <c r="F988" s="17"/>
      <c r="H988" s="16"/>
      <c r="J988" s="17"/>
      <c r="L988" s="16"/>
      <c r="N988" s="17"/>
      <c r="P988" s="16"/>
      <c r="R988" s="17"/>
      <c r="T988" s="16"/>
      <c r="V988" s="17"/>
      <c r="AH988" s="20"/>
      <c r="AI988" s="20"/>
      <c r="AJ988" s="36"/>
      <c r="AM988" s="22"/>
      <c r="AO988" s="34"/>
    </row>
    <row r="989">
      <c r="D989" s="16"/>
      <c r="F989" s="17"/>
      <c r="H989" s="16"/>
      <c r="J989" s="17"/>
      <c r="L989" s="16"/>
      <c r="N989" s="17"/>
      <c r="P989" s="16"/>
      <c r="R989" s="17"/>
      <c r="T989" s="16"/>
      <c r="V989" s="17"/>
      <c r="AH989" s="20"/>
      <c r="AI989" s="20"/>
      <c r="AJ989" s="36"/>
      <c r="AM989" s="22"/>
      <c r="AO989" s="34"/>
    </row>
    <row r="990">
      <c r="D990" s="16"/>
      <c r="F990" s="17"/>
      <c r="H990" s="16"/>
      <c r="J990" s="17"/>
      <c r="L990" s="16"/>
      <c r="N990" s="17"/>
      <c r="P990" s="16"/>
      <c r="R990" s="17"/>
      <c r="T990" s="16"/>
      <c r="V990" s="17"/>
      <c r="AH990" s="20"/>
      <c r="AI990" s="20"/>
      <c r="AJ990" s="36"/>
      <c r="AM990" s="22"/>
      <c r="AO990" s="34"/>
    </row>
    <row r="991">
      <c r="D991" s="16"/>
      <c r="F991" s="17"/>
      <c r="H991" s="16"/>
      <c r="J991" s="17"/>
      <c r="L991" s="16"/>
      <c r="N991" s="17"/>
      <c r="P991" s="16"/>
      <c r="R991" s="17"/>
      <c r="T991" s="16"/>
      <c r="V991" s="17"/>
      <c r="AH991" s="20"/>
      <c r="AI991" s="20"/>
      <c r="AJ991" s="36"/>
      <c r="AM991" s="22"/>
      <c r="AO991" s="34"/>
    </row>
    <row r="992">
      <c r="D992" s="16"/>
      <c r="F992" s="17"/>
      <c r="H992" s="16"/>
      <c r="J992" s="17"/>
      <c r="L992" s="16"/>
      <c r="N992" s="17"/>
      <c r="P992" s="16"/>
      <c r="R992" s="17"/>
      <c r="T992" s="16"/>
      <c r="V992" s="17"/>
      <c r="AH992" s="20"/>
      <c r="AI992" s="20"/>
      <c r="AJ992" s="36"/>
      <c r="AM992" s="22"/>
      <c r="AO992" s="34"/>
    </row>
    <row r="993">
      <c r="D993" s="16"/>
      <c r="F993" s="17"/>
      <c r="H993" s="16"/>
      <c r="J993" s="17"/>
      <c r="L993" s="16"/>
      <c r="N993" s="17"/>
      <c r="P993" s="16"/>
      <c r="R993" s="17"/>
      <c r="T993" s="16"/>
      <c r="V993" s="17"/>
      <c r="AH993" s="20"/>
      <c r="AI993" s="20"/>
      <c r="AJ993" s="36"/>
      <c r="AM993" s="22"/>
      <c r="AO993" s="34"/>
    </row>
    <row r="994">
      <c r="D994" s="16"/>
      <c r="F994" s="17"/>
      <c r="H994" s="16"/>
      <c r="J994" s="17"/>
      <c r="L994" s="16"/>
      <c r="N994" s="17"/>
      <c r="P994" s="16"/>
      <c r="R994" s="17"/>
      <c r="T994" s="16"/>
      <c r="V994" s="17"/>
      <c r="AH994" s="20"/>
      <c r="AI994" s="20"/>
      <c r="AJ994" s="36"/>
      <c r="AM994" s="22"/>
      <c r="AO994" s="34"/>
    </row>
    <row r="995">
      <c r="D995" s="16"/>
      <c r="F995" s="17"/>
      <c r="H995" s="16"/>
      <c r="J995" s="17"/>
      <c r="L995" s="16"/>
      <c r="N995" s="17"/>
      <c r="P995" s="16"/>
      <c r="R995" s="17"/>
      <c r="T995" s="16"/>
      <c r="V995" s="17"/>
      <c r="AH995" s="20"/>
      <c r="AI995" s="20"/>
      <c r="AJ995" s="36"/>
      <c r="AM995" s="22"/>
      <c r="AO995" s="34"/>
    </row>
    <row r="996">
      <c r="D996" s="16"/>
      <c r="F996" s="17"/>
      <c r="H996" s="16"/>
      <c r="J996" s="17"/>
      <c r="L996" s="16"/>
      <c r="N996" s="17"/>
      <c r="P996" s="16"/>
      <c r="R996" s="17"/>
      <c r="T996" s="16"/>
      <c r="V996" s="17"/>
      <c r="AH996" s="20"/>
      <c r="AI996" s="20"/>
      <c r="AJ996" s="36"/>
      <c r="AM996" s="22"/>
      <c r="AO996" s="34"/>
    </row>
    <row r="997">
      <c r="D997" s="16"/>
      <c r="F997" s="17"/>
      <c r="H997" s="16"/>
      <c r="J997" s="17"/>
      <c r="L997" s="16"/>
      <c r="N997" s="17"/>
      <c r="P997" s="16"/>
      <c r="R997" s="17"/>
      <c r="T997" s="16"/>
      <c r="V997" s="17"/>
      <c r="AH997" s="20"/>
      <c r="AI997" s="20"/>
      <c r="AJ997" s="36"/>
      <c r="AM997" s="22"/>
      <c r="AO997" s="34"/>
    </row>
    <row r="998">
      <c r="D998" s="16"/>
      <c r="F998" s="17"/>
      <c r="H998" s="16"/>
      <c r="J998" s="17"/>
      <c r="L998" s="16"/>
      <c r="N998" s="17"/>
      <c r="P998" s="16"/>
      <c r="R998" s="17"/>
      <c r="T998" s="16"/>
      <c r="V998" s="17"/>
      <c r="AH998" s="20"/>
      <c r="AI998" s="20"/>
      <c r="AJ998" s="36"/>
      <c r="AM998" s="22"/>
      <c r="AO998" s="34"/>
    </row>
    <row r="999">
      <c r="D999" s="16"/>
      <c r="F999" s="17"/>
      <c r="H999" s="16"/>
      <c r="J999" s="17"/>
      <c r="L999" s="16"/>
      <c r="N999" s="17"/>
      <c r="P999" s="16"/>
      <c r="R999" s="17"/>
      <c r="T999" s="16"/>
      <c r="V999" s="17"/>
      <c r="AH999" s="20"/>
      <c r="AI999" s="20"/>
      <c r="AJ999" s="36"/>
      <c r="AM999" s="22"/>
      <c r="AO999" s="34"/>
    </row>
    <row r="1000">
      <c r="D1000" s="16"/>
      <c r="F1000" s="17"/>
      <c r="H1000" s="16"/>
      <c r="J1000" s="17"/>
      <c r="L1000" s="16"/>
      <c r="N1000" s="17"/>
      <c r="P1000" s="16"/>
      <c r="R1000" s="17"/>
      <c r="T1000" s="16"/>
      <c r="V1000" s="17"/>
      <c r="AH1000" s="20"/>
      <c r="AI1000" s="20"/>
      <c r="AJ1000" s="36"/>
      <c r="AM1000" s="22"/>
      <c r="AO1000" s="3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